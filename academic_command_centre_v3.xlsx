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shboard\"/>
    </mc:Choice>
  </mc:AlternateContent>
  <xr:revisionPtr revIDLastSave="0" documentId="13_ncr:1_{8B5E2D59-EABC-48A4-AA8F-38086FA9EAF1}" xr6:coauthVersionLast="47" xr6:coauthVersionMax="47" xr10:uidLastSave="{00000000-0000-0000-0000-000000000000}"/>
  <bookViews>
    <workbookView xWindow="-120" yWindow="-120" windowWidth="29040" windowHeight="16440" tabRatio="500" activeTab="4" xr2:uid="{00000000-000D-0000-FFFF-FFFF00000000}"/>
  </bookViews>
  <sheets>
    <sheet name="🏠 Dashboard" sheetId="1" r:id="rId1"/>
    <sheet name="📅 Timetable" sheetId="2" r:id="rId2"/>
    <sheet name="📊 Analytics" sheetId="3" r:id="rId3"/>
    <sheet name="📄 Research Hub" sheetId="4" r:id="rId4"/>
    <sheet name="💰 Fina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5" l="1"/>
  <c r="D24" i="5"/>
  <c r="F23" i="5"/>
  <c r="E23" i="5"/>
  <c r="N21" i="5"/>
  <c r="J21" i="5"/>
  <c r="F21" i="5"/>
  <c r="E21" i="5"/>
  <c r="N20" i="5"/>
  <c r="J20" i="5"/>
  <c r="F20" i="5"/>
  <c r="E20" i="5"/>
  <c r="F19" i="5"/>
  <c r="E19" i="5"/>
  <c r="L18" i="5"/>
  <c r="K18" i="5"/>
  <c r="J18" i="5"/>
  <c r="F18" i="5"/>
  <c r="E18" i="5"/>
  <c r="M17" i="5"/>
  <c r="N17" i="5" s="1"/>
  <c r="F17" i="5"/>
  <c r="E17" i="5"/>
  <c r="M16" i="5"/>
  <c r="N16" i="5" s="1"/>
  <c r="F16" i="5"/>
  <c r="E16" i="5"/>
  <c r="M15" i="5"/>
  <c r="N15" i="5" s="1"/>
  <c r="F15" i="5"/>
  <c r="E15" i="5"/>
  <c r="M14" i="5"/>
  <c r="N14" i="5" s="1"/>
  <c r="F14" i="5"/>
  <c r="E14" i="5"/>
  <c r="M13" i="5"/>
  <c r="N13" i="5" s="1"/>
  <c r="F13" i="5"/>
  <c r="E13" i="5"/>
  <c r="M12" i="5"/>
  <c r="N12" i="5" s="1"/>
  <c r="F12" i="5"/>
  <c r="E12" i="5"/>
  <c r="M11" i="5"/>
  <c r="N11" i="5" s="1"/>
  <c r="F11" i="5"/>
  <c r="E11" i="5"/>
  <c r="M10" i="5"/>
  <c r="N10" i="5" s="1"/>
  <c r="F10" i="5"/>
  <c r="E10" i="5"/>
  <c r="M9" i="5"/>
  <c r="F9" i="5"/>
  <c r="E9" i="5"/>
  <c r="F8" i="5"/>
  <c r="E8" i="5"/>
  <c r="M5" i="5"/>
  <c r="J5" i="5"/>
  <c r="G5" i="5"/>
  <c r="I26" i="1" s="1"/>
  <c r="D5" i="5"/>
  <c r="U26" i="1" s="1"/>
  <c r="A5" i="5"/>
  <c r="K4" i="4"/>
  <c r="J4" i="4"/>
  <c r="K19" i="1" s="1"/>
  <c r="E4" i="4"/>
  <c r="D4" i="4"/>
  <c r="R15" i="1" s="1"/>
  <c r="C9" i="3"/>
  <c r="C8" i="3"/>
  <c r="E8" i="3" s="1"/>
  <c r="C7" i="3"/>
  <c r="E7" i="3" s="1"/>
  <c r="B7" i="3"/>
  <c r="D7" i="3" s="1"/>
  <c r="C6" i="3"/>
  <c r="C5" i="3"/>
  <c r="C4" i="3"/>
  <c r="K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M11" i="2"/>
  <c r="B9" i="3" s="1"/>
  <c r="D9" i="3" s="1"/>
  <c r="M10" i="2"/>
  <c r="B8" i="3" s="1"/>
  <c r="D8" i="3" s="1"/>
  <c r="P9" i="2"/>
  <c r="O9" i="2"/>
  <c r="K12" i="1" s="1"/>
  <c r="M9" i="2"/>
  <c r="M8" i="2"/>
  <c r="B6" i="3" s="1"/>
  <c r="D6" i="3" s="1"/>
  <c r="M7" i="2"/>
  <c r="B5" i="3" s="1"/>
  <c r="D5" i="3" s="1"/>
  <c r="M6" i="2"/>
  <c r="B4" i="3" s="1"/>
  <c r="D4" i="3" s="1"/>
  <c r="M26" i="1"/>
  <c r="E26" i="1"/>
  <c r="C20" i="1"/>
  <c r="I18" i="1"/>
  <c r="E16" i="1"/>
  <c r="I14" i="1"/>
  <c r="I12" i="1"/>
  <c r="S11" i="1"/>
  <c r="Z4" i="1"/>
  <c r="E6" i="3" l="1"/>
  <c r="I9" i="1"/>
  <c r="A27" i="1"/>
  <c r="M18" i="5"/>
  <c r="O11" i="2"/>
  <c r="F49" i="3" s="1"/>
  <c r="E9" i="3"/>
  <c r="O7" i="2"/>
  <c r="K10" i="1" s="1"/>
  <c r="I10" i="1"/>
  <c r="E5" i="3"/>
  <c r="E4" i="3"/>
  <c r="I13" i="1"/>
  <c r="N9" i="5"/>
  <c r="N18" i="5" s="1"/>
  <c r="D49" i="3"/>
  <c r="H16" i="1"/>
  <c r="R21" i="1"/>
  <c r="L27" i="1"/>
  <c r="I11" i="1"/>
  <c r="A26" i="1"/>
  <c r="A28" i="1"/>
  <c r="D43" i="3"/>
  <c r="S49" i="3"/>
  <c r="F43" i="3"/>
  <c r="D37" i="3"/>
  <c r="S43" i="3"/>
  <c r="K18" i="1"/>
  <c r="Q9" i="2"/>
  <c r="F37" i="3"/>
  <c r="Z2" i="1"/>
  <c r="I19" i="1"/>
  <c r="Q26" i="1"/>
  <c r="S12" i="1"/>
  <c r="O6" i="2"/>
  <c r="O8" i="2"/>
  <c r="O10" i="2"/>
  <c r="K14" i="1" l="1"/>
  <c r="Z6" i="1"/>
  <c r="Q7" i="2"/>
  <c r="Q11" i="2"/>
  <c r="P11" i="2"/>
  <c r="E18" i="1"/>
  <c r="S37" i="3"/>
  <c r="E14" i="1"/>
  <c r="P7" i="2"/>
  <c r="S46" i="3"/>
  <c r="F46" i="3"/>
  <c r="D46" i="3"/>
  <c r="E17" i="1"/>
  <c r="K13" i="1"/>
  <c r="Q10" i="2"/>
  <c r="P10" i="2"/>
  <c r="Z5" i="1"/>
  <c r="D40" i="3"/>
  <c r="Z3" i="1"/>
  <c r="E15" i="1"/>
  <c r="K11" i="1"/>
  <c r="S40" i="3"/>
  <c r="Q8" i="2"/>
  <c r="F40" i="3"/>
  <c r="P8" i="2"/>
  <c r="P6" i="2"/>
  <c r="E13" i="1"/>
  <c r="B12" i="3"/>
  <c r="K9" i="1"/>
  <c r="K4" i="2"/>
  <c r="Z1" i="1"/>
  <c r="O3" i="2"/>
  <c r="S34" i="3"/>
  <c r="M3" i="2"/>
  <c r="F34" i="3"/>
  <c r="D34" i="3"/>
  <c r="Q6" i="2"/>
  <c r="B13" i="3"/>
  <c r="C9" i="1" l="1"/>
  <c r="C8" i="1"/>
  <c r="C10" i="1"/>
</calcChain>
</file>

<file path=xl/sharedStrings.xml><?xml version="1.0" encoding="utf-8"?>
<sst xmlns="http://schemas.openxmlformats.org/spreadsheetml/2006/main" count="522" uniqueCount="369">
  <si>
    <t>◈  ACADEMIC COMMAND CENTRE  |  TANAKA ALEX MBENDANA  |  BEIHANG UNIVERSITY  2025 – 2026  ◈</t>
  </si>
  <si>
    <t>"Discipline and strategy are the cartography of ambition."  — Waldo Tobler    |    "The goal of remote sensing science is not merely to capture the Earth, but to comprehend it."  — Carl Troll</t>
  </si>
  <si>
    <t>◆  SEMESTER PROGRESS</t>
  </si>
  <si>
    <t>◆  COURSE SESSIONS</t>
  </si>
  <si>
    <t>◆  SPRING CALENDAR 2026</t>
  </si>
  <si>
    <t>◆  RESEARCH STATUS</t>
  </si>
  <si>
    <t>◆  KEY DATES &amp; METRICS</t>
  </si>
  <si>
    <t>COURSE</t>
  </si>
  <si>
    <t>ATTENDED</t>
  </si>
  <si>
    <t>TOTAL</t>
  </si>
  <si>
    <t>STATUS</t>
  </si>
  <si>
    <t>SPRING SEMESTER 2026  |  BEIHANG UNIVERSITY</t>
  </si>
  <si>
    <t>RESEARCH STATUS</t>
  </si>
  <si>
    <t>KEY DATES &amp; METRICS</t>
  </si>
  <si>
    <t>Chinese Lang 2</t>
  </si>
  <si>
    <t>Wk 1</t>
  </si>
  <si>
    <t>02–08 Mar</t>
  </si>
  <si>
    <t>📜 PAPER 1 — CYCLONE SIF</t>
  </si>
  <si>
    <t>◆</t>
  </si>
  <si>
    <t>Spring Start</t>
  </si>
  <si>
    <t>02 Mar 2026</t>
  </si>
  <si>
    <t>Sci Paper Writing</t>
  </si>
  <si>
    <t>Wk 2</t>
  </si>
  <si>
    <t>09–15 Mar</t>
  </si>
  <si>
    <t>Status</t>
  </si>
  <si>
    <t>✍ Writing in progress</t>
  </si>
  <si>
    <t>UAV Intensives</t>
  </si>
  <si>
    <t>06 Apr 2026</t>
  </si>
  <si>
    <t>RS Image Processing</t>
  </si>
  <si>
    <t>Wk 3</t>
  </si>
  <si>
    <t>16–22 Mar</t>
  </si>
  <si>
    <t>Sections done</t>
  </si>
  <si>
    <t>ScPaper/RSImg End</t>
  </si>
  <si>
    <t>26 Apr 2026</t>
  </si>
  <si>
    <t>PER-COURSE PROGRESS</t>
  </si>
  <si>
    <t>UAV Remote Sensing</t>
  </si>
  <si>
    <t>Wk 4</t>
  </si>
  <si>
    <t>23–29 Mar</t>
  </si>
  <si>
    <t>Completion</t>
  </si>
  <si>
    <t>NatDis Begins</t>
  </si>
  <si>
    <t>27 Apr 2026</t>
  </si>
  <si>
    <t>1</t>
  </si>
  <si>
    <t>RS Nat Disasters</t>
  </si>
  <si>
    <t>Wk 5</t>
  </si>
  <si>
    <t>30 Mar–05 Apr</t>
  </si>
  <si>
    <t>Target journal</t>
  </si>
  <si>
    <t>Remote Sensing of Env.</t>
  </si>
  <si>
    <t>UAV Ends Sat/Sun</t>
  </si>
  <si>
    <t>17 May 2026</t>
  </si>
  <si>
    <t>2</t>
  </si>
  <si>
    <t>AI &amp; Large Models</t>
  </si>
  <si>
    <t>Wk 6</t>
  </si>
  <si>
    <t>06–12 Apr</t>
  </si>
  <si>
    <t>UAV begins (Mon/Wed)</t>
  </si>
  <si>
    <t>Submission</t>
  </si>
  <si>
    <t>Q3 2026 (Target)</t>
  </si>
  <si>
    <t>Open Campus Day</t>
  </si>
  <si>
    <t>08 Jun 2026</t>
  </si>
  <si>
    <t>3</t>
  </si>
  <si>
    <t>Wk 7</t>
  </si>
  <si>
    <t>13–19 Apr</t>
  </si>
  <si>
    <t>Graduation</t>
  </si>
  <si>
    <t>15 Jun 2026</t>
  </si>
  <si>
    <t>4</t>
  </si>
  <si>
    <t>Wk 8</t>
  </si>
  <si>
    <t>20–26 Apr</t>
  </si>
  <si>
    <t>ScPaper · RSImg · AI end</t>
  </si>
  <si>
    <t>📜 PAPER 2 — GPP RECOVERY</t>
  </si>
  <si>
    <t>Semester End</t>
  </si>
  <si>
    <t>21 Jun 2026</t>
  </si>
  <si>
    <t>5</t>
  </si>
  <si>
    <t>RS Natural Disasters</t>
  </si>
  <si>
    <t>RESEARCH PAPERS</t>
  </si>
  <si>
    <t>Wk 9</t>
  </si>
  <si>
    <t>27 Apr–03 May</t>
  </si>
  <si>
    <t>NatDis begins (Wed/Thu)</t>
  </si>
  <si>
    <t>🔒 Planned — Post-Paper 1</t>
  </si>
  <si>
    <t>6</t>
  </si>
  <si>
    <t>Paper 1 — Cyclone SIF</t>
  </si>
  <si>
    <t>Wk 10</t>
  </si>
  <si>
    <t>04–10 May</t>
  </si>
  <si>
    <t>UAV Sat/Sun intensives</t>
  </si>
  <si>
    <t>Concept</t>
  </si>
  <si>
    <t>GPP recovery + rainfall coupling</t>
  </si>
  <si>
    <t>PROGRAMME METRICS</t>
  </si>
  <si>
    <t>Paper 2 — GPP Recovery</t>
  </si>
  <si>
    <t>Wk 11</t>
  </si>
  <si>
    <t>11–17 May</t>
  </si>
  <si>
    <t>Last UAV Sat/Sun block</t>
  </si>
  <si>
    <t>Target</t>
  </si>
  <si>
    <t>Global Change Biology</t>
  </si>
  <si>
    <t>Courses / Papers</t>
  </si>
  <si>
    <t>6 courses  |  2 papers</t>
  </si>
  <si>
    <t>Wk 15</t>
  </si>
  <si>
    <t>08–14 Jun</t>
  </si>
  <si>
    <t>◆ Open Campus Day</t>
  </si>
  <si>
    <t>Timeline</t>
  </si>
  <si>
    <t>2027 Submission</t>
  </si>
  <si>
    <t>Total Sessions</t>
  </si>
  <si>
    <t>126 scheduled</t>
  </si>
  <si>
    <t>Wk 16</t>
  </si>
  <si>
    <t>15–21 Jun</t>
  </si>
  <si>
    <t>◆ Graduation Ceremony</t>
  </si>
  <si>
    <t>Semester Duration</t>
  </si>
  <si>
    <t>16 weeks — Mar to Jun 2026</t>
  </si>
  <si>
    <t>💰  FINANCIAL OVERVIEW  |  SEMESTER 2  |  ¥4,500 TOTAL BUDGET</t>
  </si>
  <si>
    <t>TOTAL SPENT</t>
  </si>
  <si>
    <t>REMAINING</t>
  </si>
  <si>
    <t>WEEKLY ALLOWANCE</t>
  </si>
  <si>
    <t>SAVINGS RATE</t>
  </si>
  <si>
    <t>BUDGET HEALTH</t>
  </si>
  <si>
    <t>PROJECTED SAVINGS</t>
  </si>
  <si>
    <t>"Spatial thinking is the foundation upon which all geographic knowledge rests."  — Robert Sinton   |   "Discipline and strategy are the cartography of ambition."  — Waldo Tobler</t>
  </si>
  <si>
    <t>◈  SPRING SEMESTER 2026  |  COURSE TIMETABLE  |  BEIHANG UNIVERSITY  ◈</t>
  </si>
  <si>
    <t>⬡  LIVE ATTENDANCE TRACKER  |  Type 1 = Attended</t>
  </si>
  <si>
    <t>"Remote sensing allows us to see the Earth as a living system."  — Charles Elachi, NASA/JPL</t>
  </si>
  <si>
    <t>"Every map is a political act — a statement of power over space."  — J.B. Harley</t>
  </si>
  <si>
    <t>MASTER COMPLETION</t>
  </si>
  <si>
    <t>"To understand a landscape, you must first learn to read it from above."  — Carl Troll</t>
  </si>
  <si>
    <t>OVERALL:</t>
  </si>
  <si>
    <t>"The map is not the territory — but it is the beginning of understanding it."  — Alfred Korzybski</t>
  </si>
  <si>
    <t>● COURSE LEGEND  |  Verified from BUAA Academic Affairs System</t>
  </si>
  <si>
    <t>#</t>
  </si>
  <si>
    <t>DONE</t>
  </si>
  <si>
    <t>%</t>
  </si>
  <si>
    <t>PROGRESS BAR</t>
  </si>
  <si>
    <t>WEEKS</t>
  </si>
  <si>
    <t>Chinese Language 2  |  Wks 1–16  |  D253026002</t>
  </si>
  <si>
    <t>RS Image Processing  |  Wks 1–8  |  D253051004</t>
  </si>
  <si>
    <t>RS Natural Disasters  |  Wks 9–16  |  D253051005</t>
  </si>
  <si>
    <t>Chinese Language 2</t>
  </si>
  <si>
    <t>Wks 1–16</t>
  </si>
  <si>
    <t>Sci Paper Writing  |  Wks 1–8  |  D253026011</t>
  </si>
  <si>
    <t>UAV Remote Sensing  |  Wks 6–11  |  D253052002</t>
  </si>
  <si>
    <t>AI &amp; Large Models  |  Wks 1–8  |  D253041002</t>
  </si>
  <si>
    <t>Wks 1–8</t>
  </si>
  <si>
    <t>SECTION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</si>
  <si>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</si>
  <si>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</si>
  <si>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</si>
  <si>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</si>
  <si>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</si>
  <si>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</si>
  <si>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</si>
  <si>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</si>
  <si>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S1</t>
  </si>
  <si>
    <t>08:00–08:45</t>
  </si>
  <si>
    <t>Chinese Language 2 (Graduate) — Hangzhou Class 1
Wks 1-16  |  Zhang Yongqin
Teaching Bldg 2 · Rm 3003</t>
  </si>
  <si>
    <t>UAV Remote Sensing Methods &amp; Applications (01)
Wks 10-11  |  Tan Yumin · He Lingfeng
Research Bldg 1 · Rm 1043</t>
  </si>
  <si>
    <t>Wks 6–11</t>
  </si>
  <si>
    <t>S2</t>
  </si>
  <si>
    <t>08:50–09:35</t>
  </si>
  <si>
    <t>Wks 9–16</t>
  </si>
  <si>
    <t>S3</t>
  </si>
  <si>
    <t>09:50–10:35</t>
  </si>
  <si>
    <t>Scientific Paper Writing in English (01)
Wks 1-8  |  Sheikh Tawhidul Islam
Research Bldg 1 · Rm 4108</t>
  </si>
  <si>
    <t>Intelligent Processing of Remote Sensing Images (01)
Wks 1-8  |  Tan Yumin · TARIQ AQIL
Research Bldg 1 · Rm 1043</t>
  </si>
  <si>
    <t>S4</t>
  </si>
  <si>
    <t>10:40–11:25</t>
  </si>
  <si>
    <t>S5</t>
  </si>
  <si>
    <t>11:30–12:15</t>
  </si>
  <si>
    <t>📋  WEEK-BY-WEEK ATTENDANCE  |  Type 1 = Attended  |  0 or blank = Absent</t>
  </si>
  <si>
    <t>S6</t>
  </si>
  <si>
    <t>14:00–14:45</t>
  </si>
  <si>
    <t>UAV Remote Sensing Methods &amp; Applications (01)
Wks 6-9  |  Tan Yumin · He Lingfeng
Research Bldg 1 · Rm 1043</t>
  </si>
  <si>
    <t>WEEK</t>
  </si>
  <si>
    <t>Chinese Lang</t>
  </si>
  <si>
    <t>Sci Paper Wr</t>
  </si>
  <si>
    <t>RS Image Pro</t>
  </si>
  <si>
    <t>UAV Remote S</t>
  </si>
  <si>
    <t>RS Natural D</t>
  </si>
  <si>
    <t>AI &amp; Large M</t>
  </si>
  <si>
    <t>Σ/week</t>
  </si>
  <si>
    <t>S7</t>
  </si>
  <si>
    <t>14:50–15:35</t>
  </si>
  <si>
    <t>Wk 1  02–08 Mar</t>
  </si>
  <si>
    <t>S8</t>
  </si>
  <si>
    <t>15:50–16:35</t>
  </si>
  <si>
    <t>Remote Sensing of Natural Disasters (01)
Wks 9-16  |  Sheikh Tawhidul Islam
Research Bldg 1 · Rm 1045</t>
  </si>
  <si>
    <t>Remote Sensing of Natural Disasters (01)
Wks 15-16  |  Sheikh Tawhidul Islam
Research Bldg 1 · Rm 1045</t>
  </si>
  <si>
    <t>Wk 2  09–15 Mar</t>
  </si>
  <si>
    <t>S9</t>
  </si>
  <si>
    <t>16:40–17:25</t>
  </si>
  <si>
    <t>Wk 3  16–22 Mar</t>
  </si>
  <si>
    <t>S10</t>
  </si>
  <si>
    <t>17:30–18:15</t>
  </si>
  <si>
    <t>Wk 4  23–29 Mar</t>
  </si>
  <si>
    <t>S11</t>
  </si>
  <si>
    <t>19:00–19:45</t>
  </si>
  <si>
    <t>Artificial Intelligence &amp; Large Models (01)
Wks 1-8  |  Populus euphratica
Research Bldg 1 · Rm 4108</t>
  </si>
  <si>
    <t>Wk 5  30Mar–5Apr</t>
  </si>
  <si>
    <t>S12</t>
  </si>
  <si>
    <t>19:50–20:35</t>
  </si>
  <si>
    <t>Wk 6  06–12 Apr</t>
  </si>
  <si>
    <t>S13</t>
  </si>
  <si>
    <t>20:40–21:25</t>
  </si>
  <si>
    <t>Wk 7  13–19 Apr</t>
  </si>
  <si>
    <t>S14</t>
  </si>
  <si>
    <t>21:30–22:15</t>
  </si>
  <si>
    <t>Wk 8  20–26 Apr</t>
  </si>
  <si>
    <t>Wk 9  27Apr–3May</t>
  </si>
  <si>
    <t>Wk 10 04–10 May</t>
  </si>
  <si>
    <t>Wk 11 11–17 May</t>
  </si>
  <si>
    <t>Wk 12 18–24 May</t>
  </si>
  <si>
    <t>Wk 13 25–31 May</t>
  </si>
  <si>
    <t>Wk 14 01–07 Jun</t>
  </si>
  <si>
    <t>Wk 15 08–14 Jun</t>
  </si>
  <si>
    <t>Wk 16 15–21 Jun</t>
  </si>
  <si>
    <t>"Spatial thinking is the foundation upon which all geographic knowledge rests."  — Robert Sinton</t>
  </si>
  <si>
    <t>◈  ACADEMIC ANALYTICS DASHBOARD  |  SPRING 2026</t>
  </si>
  <si>
    <t>Completed</t>
  </si>
  <si>
    <t>Remaining</t>
  </si>
  <si>
    <t>◈  COURSE PROGRESS INFOGRAPHIC  |  LIVE DATA</t>
  </si>
  <si>
    <t>Zhang Yongqin  |  Wks 1–16  |  32 sessions  |  Teaching Bldg 2 · Rm 3003</t>
  </si>
  <si>
    <t>Sheikh Tawhidul Islam  |  Wks 1–8  |  16 sessions  |  Research Bldg 1 · Rm 4108</t>
  </si>
  <si>
    <t>Tan Yumin · TARIQ AQIL  |  Wks 1–8  |  20 sessions  |  Research Bldg 1 · Rm 1043</t>
  </si>
  <si>
    <t>Tan Yumin · He Lingfeng  |  Wks 6–11  |  24 sessions  |  Research Bldg 1 · Rm 1043</t>
  </si>
  <si>
    <t>Sheikh Tawhidul Islam  |  Wks 9–16  |  18 sessions  |  Research Bldg 1 · Rm 1045</t>
  </si>
  <si>
    <t>Populus euphratica  |  Wks 1–8  |  16 sessions  |  Research Bldg 1 · Rm 4108</t>
  </si>
  <si>
    <t>◈  RESEARCH &amp; PUBLICATION HUB  |  MASTERS IN REMOTE SENSING  |  BEIHANG 2025–2026  ◈</t>
  </si>
  <si>
    <t>"The goal of remote sensing science is not merely to capture the Earth, but to comprehend it."  — Carl Troll  |  "Every map is a political act — a statement of power over space."  — J.B. Harley</t>
  </si>
  <si>
    <t>PAPER 1 COMPLETION:</t>
  </si>
  <si>
    <t>PAPER 2 COMPLETION:</t>
  </si>
  <si>
    <t>📜  PAPER 1
Cyclone-Induced Vegetation Functional Disruption Across Southern Africa
Observed via TROPOMI Solar-Induced Fluorescence</t>
  </si>
  <si>
    <t>📜  PAPER 2
Hydroclimatic Modulation of Post-Cyclone GPP Recovery
Across Semi-Arid Ecosystems in Southern Africa</t>
  </si>
  <si>
    <t>TARGET DATE</t>
  </si>
  <si>
    <t>NOTES</t>
  </si>
  <si>
    <t>Title &amp; Abstract</t>
  </si>
  <si>
    <t>✅</t>
  </si>
  <si>
    <t>Mar 2026</t>
  </si>
  <si>
    <t>Cyclone SIF framework — complete draft</t>
  </si>
  <si>
    <t>Research Conception</t>
  </si>
  <si>
    <t>⏳</t>
  </si>
  <si>
    <t>Jun 2026</t>
  </si>
  <si>
    <t>GPP recovery mechanics, rainfall coupling</t>
  </si>
  <si>
    <t>1. Introduction</t>
  </si>
  <si>
    <t>Climate variability, NDVI vs SIF rationale</t>
  </si>
  <si>
    <t>Literature Review</t>
  </si>
  <si>
    <t>🔒</t>
  </si>
  <si>
    <t>Jul 2026</t>
  </si>
  <si>
    <t>ENSO, hydroclimatic driver studies</t>
  </si>
  <si>
    <t>2. Study Site Description</t>
  </si>
  <si>
    <t>SADC boundary, ENSO context, biomes</t>
  </si>
  <si>
    <t>Study Site &amp; Data</t>
  </si>
  <si>
    <t>Extend SADC dataset, PML-V2 expansion</t>
  </si>
  <si>
    <t>3.1 Conceptual Framework</t>
  </si>
  <si>
    <t>BER window, disturbance ontology</t>
  </si>
  <si>
    <t>Conceptual Framework</t>
  </si>
  <si>
    <t>Aug 2026</t>
  </si>
  <si>
    <t>Recovery-penalized index framework</t>
  </si>
  <si>
    <t>3.2 Cyclone Identification</t>
  </si>
  <si>
    <t>IBTrACS, storm-country pairs</t>
  </si>
  <si>
    <t>Methods: Recovery Windows</t>
  </si>
  <si>
    <t>30/60/90-day recovery analysis</t>
  </si>
  <si>
    <t>3.3 Datasets</t>
  </si>
  <si>
    <t>TROPOMI SIF, PML-V2 GPP, CHIRPS</t>
  </si>
  <si>
    <t>Methods: Rainfall Drivers</t>
  </si>
  <si>
    <t>CHIRPS ETCCDI extremes, lagged correlations</t>
  </si>
  <si>
    <t>3.4 BER Window Framework</t>
  </si>
  <si>
    <t>30-day baseline/event/recovery</t>
  </si>
  <si>
    <t>Results: Country Trajectories</t>
  </si>
  <si>
    <t>Sep 2026</t>
  </si>
  <si>
    <t>Per-country GPP recovery mapping</t>
  </si>
  <si>
    <t>3.5 Data Coverage</t>
  </si>
  <si>
    <t>Apr 2026</t>
  </si>
  <si>
    <t>Missingness thresholds defined</t>
  </si>
  <si>
    <t>Results: Rainfall Coupling</t>
  </si>
  <si>
    <t>ΔR95pTOT vs RR regression</t>
  </si>
  <si>
    <t>3.6–3.8 Disruption Metrics</t>
  </si>
  <si>
    <t>CFDI, GPPDI, CFDI*, CVFII indices</t>
  </si>
  <si>
    <t>Discussion</t>
  </si>
  <si>
    <t>Oct 2026</t>
  </si>
  <si>
    <t>Mechanisms, ENSO modulation, policy</t>
  </si>
  <si>
    <t>4.1–4.3 Results (SIF/GPP)</t>
  </si>
  <si>
    <t xml:space="preserve">BER dynamics, CFDI ranking., This section  CVFII was removed because of its close  relationship with SIF </t>
  </si>
  <si>
    <t>Conclusion &amp; Submission</t>
  </si>
  <si>
    <t>Nov 2026</t>
  </si>
  <si>
    <t>Target: Global Change Biology / RSE</t>
  </si>
  <si>
    <t>4.4–4.6 Recovery &amp; Coupling</t>
  </si>
  <si>
    <t>Persistence, SIF-GPP coupling</t>
  </si>
  <si>
    <t>Peer Review Response</t>
  </si>
  <si>
    <t>Dec 2026</t>
  </si>
  <si>
    <t>Revision cycle</t>
  </si>
  <si>
    <t>4.7–4.9 Rainfall Drivers</t>
  </si>
  <si>
    <t>May 2026</t>
  </si>
  <si>
    <t>ETCCDI extremes, CVFII distribution</t>
  </si>
  <si>
    <t>Publication</t>
  </si>
  <si>
    <t>2027</t>
  </si>
  <si>
    <t>Final acceptance &amp; DOI</t>
  </si>
  <si>
    <t>5. Discussion</t>
  </si>
  <si>
    <t>Synthesis, limitations, implications</t>
  </si>
  <si>
    <t>6. Conclusion</t>
  </si>
  <si>
    <t>Research contributions, future work</t>
  </si>
  <si>
    <t>Submission &amp; Revision</t>
  </si>
  <si>
    <t>Target: Remote Sensing of Environment</t>
  </si>
  <si>
    <t>◆  RESEARCH VISION  |  MASTERS SCOPE &amp; AMBITION</t>
  </si>
  <si>
    <t>CORE THEME</t>
  </si>
  <si>
    <t>Vegetation functional response to extreme hydroclimatic disturbance in Southern Africa</t>
  </si>
  <si>
    <t>METHODOLOGY</t>
  </si>
  <si>
    <t>TROPOMI SIF remote sensing + GPP (PML-V2) + ETCCDI hydroclimatic extremes + BER framework</t>
  </si>
  <si>
    <t>STUDY REGION</t>
  </si>
  <si>
    <t>Southern African Development Community (SADC) — 16 member states, diverse biomes</t>
  </si>
  <si>
    <t>CYCLONES</t>
  </si>
  <si>
    <t>Idai, Kenneth, Chalane, Belna, Diane, Francisco, Desmond — 21 storm-country exposures</t>
  </si>
  <si>
    <t>INDICES</t>
  </si>
  <si>
    <t>CFDI, GPPDI, CFDI*, GPPDI*, FASIF, FAGPP, CVFII — novel disturbance quantification framework</t>
  </si>
  <si>
    <t>CONTRIBUTION</t>
  </si>
  <si>
    <t>First multi-cyclone, multi-country SIF-GPP coupling study at physiological resolution</t>
  </si>
  <si>
    <t>TARGET JOURNALS</t>
  </si>
  <si>
    <t>Remote Sensing of Environment  |  Global Change Biology  |  Nature Climate Change</t>
  </si>
  <si>
    <t>TIMELINE</t>
  </si>
  <si>
    <t>Paper 1 → Q3 2026  |  Paper 2 → 2027  |  Masters Thesis → 2027</t>
  </si>
  <si>
    <t>"Spatial thinking is the foundation upon which all geographic knowledge rests."  — Robert Sinton  |  "The map is not the territory — but it is the beginning of understanding it."  — Alfred Korzybski</t>
  </si>
  <si>
    <t>💰  FINANCIAL COMMAND  |  SEMESTER 2 BUDGET TRACKER  |  2025–2026  |  BASE: ¥4,026.32  +  INCOMING BONUS ¥1,600</t>
  </si>
  <si>
    <t>REMAINING BUDGET</t>
  </si>
  <si>
    <t>SAVINGS TARGET</t>
  </si>
  <si>
    <t>SAVED SO FAR</t>
  </si>
  <si>
    <t>WK</t>
  </si>
  <si>
    <t>DESCRIPTION</t>
  </si>
  <si>
    <t>CATEGORY</t>
  </si>
  <si>
    <t>AMOUNT (¥)</t>
  </si>
  <si>
    <t>RUNNING BAL</t>
  </si>
  <si>
    <t>% OF BUDGET</t>
  </si>
  <si>
    <t>◆  BUDGET STRATEGY  |  SEMESTER 2  |  ¥4,500 TOTAL</t>
  </si>
  <si>
    <t>Montly Groceries &amp; Meals&amp; Eating Utilities</t>
  </si>
  <si>
    <t>Food</t>
  </si>
  <si>
    <t>Canteen + Canned Food +Cereal. Canteen meals taken  only at night</t>
  </si>
  <si>
    <t>MONTHLY ¥</t>
  </si>
  <si>
    <t>SEM TOTAL ¥</t>
  </si>
  <si>
    <t>% ALLOC</t>
  </si>
  <si>
    <t>SPENT ¥</t>
  </si>
  <si>
    <t>REMAINING ¥</t>
  </si>
  <si>
    <t>VPN</t>
  </si>
  <si>
    <t>Entertainment</t>
  </si>
  <si>
    <t>Phone data</t>
  </si>
  <si>
    <t>Food &amp; Meals</t>
  </si>
  <si>
    <t>Study materials / printing</t>
  </si>
  <si>
    <t>Study Materials</t>
  </si>
  <si>
    <t>Paper, pens, journal access</t>
  </si>
  <si>
    <t>Cinema / museum</t>
  </si>
  <si>
    <t>Transport</t>
  </si>
  <si>
    <t>Other</t>
  </si>
  <si>
    <t xml:space="preserve">pay back rosey for leesah  </t>
  </si>
  <si>
    <t>Communication</t>
  </si>
  <si>
    <t>Wifi</t>
  </si>
  <si>
    <t>Clothes</t>
  </si>
  <si>
    <t>Clothing</t>
  </si>
  <si>
    <t xml:space="preserve">I  need new clothes </t>
  </si>
  <si>
    <t>Health</t>
  </si>
  <si>
    <t xml:space="preserve">Laundry  </t>
  </si>
  <si>
    <t xml:space="preserve">wanted to wash my clothes this is likely to be a recurrent on a monthly basis </t>
  </si>
  <si>
    <t xml:space="preserve">Take  out </t>
  </si>
  <si>
    <t xml:space="preserve">Once in a while I might order take away </t>
  </si>
  <si>
    <t>Personal Care</t>
  </si>
  <si>
    <t>Leesah</t>
  </si>
  <si>
    <t>TOTALS</t>
  </si>
  <si>
    <t xml:space="preserve">Valerie </t>
  </si>
  <si>
    <t>◆  FINANCIAL HEALTH MONITOR  |  BONUS ¥1,600 INCOMING (CONFIRMED)</t>
  </si>
  <si>
    <t>Shampoo, body wash, toiletries — monthly</t>
  </si>
  <si>
    <t>BUDGET USED:</t>
  </si>
  <si>
    <t>Paracetamol, vitamin C, supplements</t>
  </si>
  <si>
    <t>SAVINGS RATE:</t>
  </si>
  <si>
    <t>Between-meal campus snacks, cafe visits</t>
  </si>
  <si>
    <t>⏳ BONUS ¥1,600 INCOMING (FACE SCAN — CONFIRMED) · CURRENT BANK BALANCE: ¥1,453.04</t>
  </si>
  <si>
    <t>PROJECTED TOTAL (with bonus): ¥3,053.04  |  Spent so far: ¥2,573.28  |  Target saved: ¥1,350  |  ✅ ON TRACK</t>
  </si>
  <si>
    <t>"Beware of little expenses; a small leak will sink a great ship."  — Benjamin Franklin   |   "The habit of saving is itself an education."  — T.T. Munger</t>
  </si>
  <si>
    <t>Rosey,Rufaro,Munahse</t>
  </si>
  <si>
    <t>Girlfriend Allowance</t>
  </si>
  <si>
    <t>Hospital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</si>
</sst>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¥#,##0.00"/>
    <numFmt numFmtId="166" formatCode="\¥#,##0"/>
  </numFmts>
  <fonts count="95" x14ac:knownFonts="1">
    <font>
      <sz val="11"/>
      <color theme="1"/>
      <name val="Calibri"/>
      <family val="2"/>
      <charset val="1"/>
    </font>
    <font>
      <b/>
      <sz val="20"/>
      <color rgb="FFC9A84C"/>
      <name val="Calibri"/>
      <charset val="1"/>
    </font>
    <font>
      <i/>
      <sz val="9"/>
      <color rgb="FFA0B4C8"/>
      <name val="Calibri"/>
      <charset val="1"/>
    </font>
    <font>
      <b/>
      <sz val="10"/>
      <color rgb="FFC9A84C"/>
      <name val="Calibri"/>
      <charset val="1"/>
    </font>
    <font>
      <b/>
      <sz val="40"/>
      <color rgb="FFE8C86A"/>
      <name val="Calibri"/>
      <charset val="1"/>
    </font>
    <font>
      <b/>
      <sz val="8"/>
      <color rgb="FFC9A84C"/>
      <name val="Calibri"/>
      <charset val="1"/>
    </font>
    <font>
      <b/>
      <sz val="9"/>
      <color rgb="FFC9A84C"/>
      <name val="Calibri"/>
      <charset val="1"/>
    </font>
    <font>
      <sz val="12"/>
      <color rgb="FF1A6B3A"/>
      <name val="Courier New"/>
      <charset val="1"/>
    </font>
    <font>
      <b/>
      <sz val="8"/>
      <color rgb="FFF0F4FF"/>
      <name val="Calibri"/>
      <charset val="1"/>
    </font>
    <font>
      <b/>
      <sz val="11"/>
      <color rgb="FF1A6B3A"/>
      <name val="Calibri"/>
      <charset val="1"/>
    </font>
    <font>
      <sz val="10"/>
      <color rgb="FFA0B4C8"/>
      <name val="Calibri"/>
      <charset val="1"/>
    </font>
    <font>
      <b/>
      <sz val="9"/>
      <color rgb="FFD6E4F0"/>
      <name val="Calibri"/>
      <charset val="1"/>
    </font>
    <font>
      <b/>
      <sz val="8"/>
      <color rgb="FFA0B4C8"/>
      <name val="Calibri"/>
      <charset val="1"/>
    </font>
    <font>
      <sz val="8"/>
      <color rgb="FFD6E4F0"/>
      <name val="Calibri"/>
      <charset val="1"/>
    </font>
    <font>
      <i/>
      <sz val="8"/>
      <color rgb="FF6B8099"/>
      <name val="Calibri"/>
      <charset val="1"/>
    </font>
    <font>
      <b/>
      <sz val="9"/>
      <color rgb="FFF0F4FF"/>
      <name val="Calibri"/>
      <charset val="1"/>
    </font>
    <font>
      <b/>
      <sz val="8"/>
      <color rgb="FFE8C86A"/>
      <name val="Calibri"/>
      <charset val="1"/>
    </font>
    <font>
      <b/>
      <sz val="11"/>
      <color rgb="FFC9A84C"/>
      <name val="Calibri"/>
      <charset val="1"/>
    </font>
    <font>
      <b/>
      <sz val="7.5"/>
      <color rgb="FFA0B4C8"/>
      <name val="Calibri"/>
      <charset val="1"/>
    </font>
    <font>
      <sz val="8"/>
      <color rgb="FFF0F4FF"/>
      <name val="Calibri"/>
      <charset val="1"/>
    </font>
    <font>
      <sz val="9"/>
      <color rgb="FF1A4B8C"/>
      <name val="Courier New"/>
      <charset val="1"/>
    </font>
    <font>
      <sz val="9"/>
      <color rgb="FF2C3E50"/>
      <name val="Courier New"/>
      <charset val="1"/>
    </font>
    <font>
      <sz val="8"/>
      <color rgb="FFC9A84C"/>
      <name val="Calibri"/>
      <charset val="1"/>
    </font>
    <font>
      <sz val="9"/>
      <color rgb="FF7D4A00"/>
      <name val="Courier New"/>
      <charset val="1"/>
    </font>
    <font>
      <sz val="10"/>
      <color rgb="FF5B0E91"/>
      <name val="Courier New"/>
      <charset val="1"/>
    </font>
    <font>
      <sz val="9"/>
      <color rgb="FF1A1A6B"/>
      <name val="Courier New"/>
      <charset val="1"/>
    </font>
    <font>
      <b/>
      <sz val="9"/>
      <color rgb="FFE8C86A"/>
      <name val="Calibri"/>
      <charset val="1"/>
    </font>
    <font>
      <sz val="9"/>
      <color rgb="FF5B0E91"/>
      <name val="Courier New"/>
      <charset val="1"/>
    </font>
    <font>
      <sz val="9"/>
      <color rgb="FF00382E"/>
      <name val="Courier New"/>
      <charset val="1"/>
    </font>
    <font>
      <b/>
      <sz val="8"/>
      <color rgb="FFD6E4F0"/>
      <name val="Calibri"/>
      <charset val="1"/>
    </font>
    <font>
      <sz val="8"/>
      <color rgb="FFE8C86A"/>
      <name val="Calibri"/>
      <charset val="1"/>
    </font>
    <font>
      <sz val="10"/>
      <color rgb="FF1A1A6B"/>
      <name val="Courier New"/>
      <charset val="1"/>
    </font>
    <font>
      <i/>
      <sz val="9"/>
      <color rgb="FFC9A84C"/>
      <name val="Calibri"/>
      <charset val="1"/>
    </font>
    <font>
      <b/>
      <sz val="13"/>
      <color rgb="FFC9A84C"/>
      <name val="Calibri"/>
      <charset val="1"/>
    </font>
    <font>
      <b/>
      <sz val="18"/>
      <color rgb="FFE74C3C"/>
      <name val="Calibri"/>
      <charset val="1"/>
    </font>
    <font>
      <b/>
      <sz val="18"/>
      <color rgb="FF2ECC71"/>
      <name val="Calibri"/>
      <charset val="1"/>
    </font>
    <font>
      <b/>
      <sz val="18"/>
      <color rgb="FFE8C86A"/>
      <name val="Calibri"/>
      <charset val="1"/>
    </font>
    <font>
      <b/>
      <sz val="14"/>
      <color rgb="FFC9A84C"/>
      <name val="Calibri"/>
      <charset val="1"/>
    </font>
    <font>
      <sz val="10"/>
      <color rgb="FFE74C3C"/>
      <name val="Courier New"/>
      <charset val="1"/>
    </font>
    <font>
      <sz val="10"/>
      <color rgb="FF2ECC71"/>
      <name val="Courier New"/>
      <charset val="1"/>
    </font>
    <font>
      <b/>
      <sz val="17"/>
      <color rgb="FFC9A84C"/>
      <name val="Calibri"/>
      <charset val="1"/>
    </font>
    <font>
      <i/>
      <sz val="8"/>
      <color rgb="FFA0B4C8"/>
      <name val="Calibri"/>
      <charset val="1"/>
    </font>
    <font>
      <b/>
      <sz val="9"/>
      <color rgb="FFA0B4C8"/>
      <name val="Calibri"/>
      <charset val="1"/>
    </font>
    <font>
      <sz val="10"/>
      <color rgb="FF1E7A3A"/>
      <name val="Courier New"/>
      <charset val="1"/>
    </font>
    <font>
      <b/>
      <sz val="7.5"/>
      <color rgb="FFF0F4FF"/>
      <name val="Calibri"/>
      <charset val="1"/>
    </font>
    <font>
      <sz val="7.5"/>
      <color rgb="FFD6E4F0"/>
      <name val="Calibri"/>
      <charset val="1"/>
    </font>
    <font>
      <b/>
      <sz val="9"/>
      <color rgb="FF1E7A3A"/>
      <name val="Calibri"/>
      <charset val="1"/>
    </font>
    <font>
      <sz val="9"/>
      <color rgb="FFA0B4C8"/>
      <name val="Calibri"/>
      <charset val="1"/>
    </font>
    <font>
      <sz val="8"/>
      <color rgb="FF6B8099"/>
      <name val="Calibri"/>
      <charset val="1"/>
    </font>
    <font>
      <sz val="7"/>
      <color rgb="FFF0F4FF"/>
      <name val="Calibri"/>
      <charset val="1"/>
    </font>
    <font>
      <b/>
      <sz val="7"/>
      <color rgb="FFF0F4FF"/>
      <name val="Calibri"/>
      <charset val="1"/>
    </font>
    <font>
      <sz val="10"/>
      <color rgb="FFD6E4F0"/>
      <name val="Calibri"/>
      <charset val="1"/>
    </font>
    <font>
      <b/>
      <sz val="10"/>
      <color rgb="FFE8C86A"/>
      <name val="Calibri"/>
      <charset val="1"/>
    </font>
    <font>
      <b/>
      <sz val="18"/>
      <color rgb="FFC9A84C"/>
      <name val="Calibri"/>
      <charset val="1"/>
    </font>
    <font>
      <sz val="9"/>
      <color rgb="FFD6E4F0"/>
      <name val="Calibri"/>
      <charset val="1"/>
    </font>
    <font>
      <sz val="8"/>
      <color rgb="FFA0B4C8"/>
      <name val="Calibri"/>
      <charset val="1"/>
    </font>
    <font>
      <b/>
      <sz val="12"/>
      <color rgb="FFC9A84C"/>
      <name val="Calibri"/>
      <charset val="1"/>
    </font>
    <font>
      <b/>
      <sz val="8.5"/>
      <color rgb="FFF0F4FF"/>
      <name val="Calibri"/>
      <charset val="1"/>
    </font>
    <font>
      <b/>
      <sz val="16"/>
      <color rgb="FFE8C86A"/>
      <name val="Calibri"/>
      <charset val="1"/>
    </font>
    <font>
      <sz val="11"/>
      <color rgb="FF1A4B8C"/>
      <name val="Courier New"/>
      <charset val="1"/>
    </font>
    <font>
      <i/>
      <sz val="7.5"/>
      <color rgb="FF6B8099"/>
      <name val="Calibri"/>
      <charset val="1"/>
    </font>
    <font>
      <sz val="11"/>
      <color rgb="FF2C3E50"/>
      <name val="Courier New"/>
      <charset val="1"/>
    </font>
    <font>
      <sz val="11"/>
      <color rgb="FF7D4A00"/>
      <name val="Courier New"/>
      <charset val="1"/>
    </font>
    <font>
      <sz val="11"/>
      <color rgb="FF1A1A6B"/>
      <name val="Courier New"/>
      <charset val="1"/>
    </font>
    <font>
      <sz val="11"/>
      <color rgb="FF5B0E91"/>
      <name val="Courier New"/>
      <charset val="1"/>
    </font>
    <font>
      <sz val="11"/>
      <color rgb="FF00382E"/>
      <name val="Courier New"/>
      <charset val="1"/>
    </font>
    <font>
      <b/>
      <sz val="10"/>
      <color rgb="FFA0B4C8"/>
      <name val="Calibri"/>
      <charset val="1"/>
    </font>
    <font>
      <b/>
      <sz val="22"/>
      <color rgb="FF5B0E91"/>
      <name val="Calibri"/>
      <charset val="1"/>
    </font>
    <font>
      <b/>
      <sz val="22"/>
      <color rgb="FF1A1A6B"/>
      <name val="Calibri"/>
      <charset val="1"/>
    </font>
    <font>
      <b/>
      <sz val="10"/>
      <color rgb="FFF0F4FF"/>
      <name val="Calibri"/>
      <charset val="1"/>
    </font>
    <font>
      <sz val="11"/>
      <color rgb="FF1E7A3A"/>
      <name val="Calibri"/>
      <charset val="1"/>
    </font>
    <font>
      <i/>
      <sz val="7.5"/>
      <color rgb="FFA0B4C8"/>
      <name val="Calibri"/>
      <charset val="1"/>
    </font>
    <font>
      <sz val="11"/>
      <color rgb="FFE8C86A"/>
      <name val="Calibri"/>
      <charset val="1"/>
    </font>
    <font>
      <sz val="11"/>
      <color rgb="FF6B8099"/>
      <name val="Calibri"/>
      <charset val="1"/>
    </font>
    <font>
      <b/>
      <sz val="8"/>
      <color rgb="FF5B0E91"/>
      <name val="Calibri"/>
      <charset val="1"/>
    </font>
    <font>
      <b/>
      <sz val="8"/>
      <color rgb="FF1A1A6B"/>
      <name val="Calibri"/>
      <charset val="1"/>
    </font>
    <font>
      <b/>
      <sz val="8"/>
      <color rgb="FF7D4A00"/>
      <name val="Calibri"/>
      <charset val="1"/>
    </font>
    <font>
      <b/>
      <sz val="8"/>
      <color rgb="FF1A4B8C"/>
      <name val="Calibri"/>
      <charset val="1"/>
    </font>
    <font>
      <b/>
      <sz val="8"/>
      <color rgb="FF2C3E50"/>
      <name val="Calibri"/>
      <charset val="1"/>
    </font>
    <font>
      <b/>
      <sz val="8"/>
      <color rgb="FF00382E"/>
      <name val="Calibri"/>
      <charset val="1"/>
    </font>
    <font>
      <b/>
      <sz val="12"/>
      <color rgb="FFE8C86A"/>
      <name val="Calibri"/>
      <charset val="1"/>
    </font>
    <font>
      <b/>
      <sz val="24"/>
      <color rgb="FF2ECC71"/>
      <name val="Calibri"/>
      <charset val="1"/>
    </font>
    <font>
      <b/>
      <sz val="10"/>
      <color rgb="FFE74C3C"/>
      <name val="Calibri"/>
      <charset val="1"/>
    </font>
    <font>
      <b/>
      <sz val="10"/>
      <color rgb="FF2ECC71"/>
      <name val="Calibri"/>
      <charset val="1"/>
    </font>
    <font>
      <sz val="9"/>
      <color rgb="FFE8C86A"/>
      <name val="Calibri"/>
      <charset val="1"/>
    </font>
    <font>
      <sz val="9"/>
      <color rgb="FFC9A84C"/>
      <name val="Calibri"/>
      <charset val="1"/>
    </font>
    <font>
      <b/>
      <sz val="9"/>
      <color rgb="FFE74C3C"/>
      <name val="Calibri"/>
      <charset val="1"/>
    </font>
    <font>
      <b/>
      <sz val="9"/>
      <color rgb="FF2ECC71"/>
      <name val="Calibri"/>
      <charset val="1"/>
    </font>
    <font>
      <sz val="11"/>
      <color rgb="FFE74C3C"/>
      <name val="Courier New"/>
      <charset val="1"/>
    </font>
    <font>
      <b/>
      <sz val="11"/>
      <color rgb="FFE74C3C"/>
      <name val="Calibri"/>
      <charset val="1"/>
    </font>
    <font>
      <sz val="11"/>
      <color rgb="FF2ECC71"/>
      <name val="Courier New"/>
      <charset val="1"/>
    </font>
    <font>
      <b/>
      <sz val="11"/>
      <color rgb="FF2ECC71"/>
      <name val="Calibri"/>
      <charset val="1"/>
    </font>
    <font>
      <b/>
      <sz val="10"/>
      <color rgb="FF7C3AED"/>
      <name val="Calibri"/>
      <charset val="1"/>
    </font>
    <font>
      <b/>
      <sz val="13"/>
      <color rgb="FF2ECC71"/>
      <name val="Calibri"/>
      <charset val="1"/>
    </font>
    <font>
      <b/>
      <sz val="9"/>
      <color rgb="FF10B981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rgb="FF0A0E1A"/>
        <bgColor rgb="FF070B13"/>
      </patternFill>
    </fill>
    <fill>
      <patternFill patternType="solid">
        <fgColor rgb="FF070B13"/>
        <bgColor rgb="FF0A0E1A"/>
      </patternFill>
    </fill>
    <fill>
      <patternFill patternType="solid">
        <fgColor rgb="FF1A2640"/>
        <bgColor rgb="FF0F1829"/>
      </patternFill>
    </fill>
    <fill>
      <patternFill patternType="solid">
        <fgColor rgb="FF0F1829"/>
        <bgColor rgb="FF0A0E1A"/>
      </patternFill>
    </fill>
    <fill>
      <patternFill patternType="solid">
        <fgColor rgb="FF1A4B8C"/>
        <bgColor rgb="FF1A3A6B"/>
      </patternFill>
    </fill>
    <fill>
      <patternFill patternType="solid">
        <fgColor rgb="FF5B0E91"/>
        <bgColor rgb="FF1A1A6B"/>
      </patternFill>
    </fill>
    <fill>
      <patternFill patternType="solid">
        <fgColor rgb="FF1A6B3A"/>
        <bgColor rgb="FF1E7A3A"/>
      </patternFill>
    </fill>
    <fill>
      <patternFill patternType="solid">
        <fgColor rgb="FF1E3A5F"/>
        <bgColor rgb="FF1A3A5F"/>
      </patternFill>
    </fill>
    <fill>
      <patternFill patternType="solid">
        <fgColor rgb="FF2C3E50"/>
        <bgColor rgb="FF1E3A5F"/>
      </patternFill>
    </fill>
    <fill>
      <patternFill patternType="solid">
        <fgColor rgb="FF1A1A6B"/>
        <bgColor rgb="FF1A2640"/>
      </patternFill>
    </fill>
    <fill>
      <patternFill patternType="solid">
        <fgColor rgb="FF7D4A00"/>
        <bgColor rgb="FF5C4400"/>
      </patternFill>
    </fill>
    <fill>
      <patternFill patternType="solid">
        <fgColor rgb="FF00382E"/>
        <bgColor rgb="FF0D3B2E"/>
      </patternFill>
    </fill>
    <fill>
      <patternFill patternType="solid">
        <fgColor rgb="FFC9A84C"/>
        <bgColor rgb="FFF39C12"/>
      </patternFill>
    </fill>
    <fill>
      <patternFill patternType="solid">
        <fgColor rgb="FF5B1A1A"/>
        <bgColor rgb="FF4A0A0A"/>
      </patternFill>
    </fill>
    <fill>
      <patternFill patternType="solid">
        <fgColor rgb="FF0D4F3C"/>
        <bgColor rgb="FF0D3B2E"/>
      </patternFill>
    </fill>
    <fill>
      <patternFill patternType="solid">
        <fgColor rgb="FF1A3A6B"/>
        <bgColor rgb="FF1A3A5F"/>
      </patternFill>
    </fill>
    <fill>
      <patternFill patternType="solid">
        <fgColor rgb="FF1A3A5F"/>
        <bgColor rgb="FF1E3A5F"/>
      </patternFill>
    </fill>
    <fill>
      <patternFill patternType="solid">
        <fgColor rgb="FF0D3B2E"/>
        <bgColor rgb="FF00382E"/>
      </patternFill>
    </fill>
    <fill>
      <patternFill patternType="solid">
        <fgColor rgb="FFE8C86A"/>
        <bgColor rgb="FFC9A84C"/>
      </patternFill>
    </fill>
    <fill>
      <patternFill patternType="solid">
        <fgColor rgb="FF5C4400"/>
        <bgColor rgb="FF7D4A00"/>
      </patternFill>
    </fill>
  </fills>
  <borders count="22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070B13"/>
      </left>
      <right style="thin">
        <color rgb="FF070B13"/>
      </right>
      <top style="thin">
        <color rgb="FF070B13"/>
      </top>
      <bottom style="thin">
        <color rgb="FF070B13"/>
      </bottom>
      <diagonal/>
    </border>
    <border>
      <left style="medium">
        <color rgb="FFC9A84C"/>
      </left>
      <right style="thin">
        <color rgb="FF1E3A5F"/>
      </right>
      <top style="medium">
        <color rgb="FFC9A84C"/>
      </top>
      <bottom style="medium">
        <color rgb="FFC9A84C"/>
      </bottom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C9A84C"/>
      </left>
      <right style="thin">
        <color rgb="FF1E3A5F"/>
      </right>
      <top style="thin">
        <color rgb="FFC9A84C"/>
      </top>
      <bottom style="thin">
        <color rgb="FFC9A84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8C86A"/>
      </left>
      <right style="thin">
        <color rgb="FF1E3A5F"/>
      </right>
      <top style="medium">
        <color rgb="FFE8C86A"/>
      </top>
      <bottom style="medium">
        <color rgb="FFE8C86A"/>
      </bottom>
      <diagonal/>
    </border>
    <border>
      <left style="thin">
        <color rgb="FF5B0E91"/>
      </left>
      <right style="thin">
        <color rgb="FF1E3A5F"/>
      </right>
      <top style="thin">
        <color rgb="FF5B0E91"/>
      </top>
      <bottom style="thin">
        <color rgb="FF5B0E91"/>
      </bottom>
      <diagonal/>
    </border>
    <border>
      <left style="thin">
        <color rgb="FF1A1A6B"/>
      </left>
      <right style="thin">
        <color rgb="FF1E3A5F"/>
      </right>
      <top style="thin">
        <color rgb="FF1A1A6B"/>
      </top>
      <bottom style="thin">
        <color rgb="FF1A1A6B"/>
      </bottom>
      <diagonal/>
    </border>
    <border>
      <left style="thin">
        <color rgb="FF5B1A1A"/>
      </left>
      <right style="thin">
        <color rgb="FF1E3A5F"/>
      </right>
      <top style="thin">
        <color rgb="FF5B1A1A"/>
      </top>
      <bottom style="thin">
        <color rgb="FF5B1A1A"/>
      </bottom>
      <diagonal/>
    </border>
    <border>
      <left style="thin">
        <color rgb="FF0D4F3C"/>
      </left>
      <right style="thin">
        <color rgb="FF1E3A5F"/>
      </right>
      <top style="thin">
        <color rgb="FF0D4F3C"/>
      </top>
      <bottom style="thin">
        <color rgb="FF0D4F3C"/>
      </bottom>
      <diagonal/>
    </border>
    <border>
      <left style="medium">
        <color rgb="FFC9A84C"/>
      </left>
      <right/>
      <top style="medium">
        <color rgb="FFC9A84C"/>
      </top>
      <bottom style="medium">
        <color rgb="FFC9A84C"/>
      </bottom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 style="thin">
        <color rgb="FF000D1A"/>
      </left>
      <right style="thin">
        <color rgb="FF000D1A"/>
      </right>
      <top style="thin">
        <color rgb="FF000D1A"/>
      </top>
      <bottom style="thin">
        <color rgb="FF000D1A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E8C86A"/>
      </left>
      <right/>
      <top style="medium">
        <color rgb="FFE8C86A"/>
      </top>
      <bottom style="medium">
        <color rgb="FFE8C86A"/>
      </bottom>
      <diagonal/>
    </border>
    <border>
      <left style="thin">
        <color rgb="FF1E7A3A"/>
      </left>
      <right style="thin">
        <color rgb="FF1E7A3A"/>
      </right>
      <top style="thin">
        <color rgb="FF1E7A3A"/>
      </top>
      <bottom style="thin">
        <color rgb="FF1E7A3A"/>
      </bottom>
      <diagonal/>
    </border>
    <border>
      <left style="medium">
        <color rgb="FFC9A84C"/>
      </left>
      <right style="medium">
        <color rgb="FFC9A84C"/>
      </right>
      <top style="medium">
        <color rgb="FFC9A84C"/>
      </top>
      <bottom style="medium">
        <color rgb="FFC9A84C"/>
      </bottom>
      <diagonal/>
    </border>
    <border>
      <left style="medium">
        <color rgb="FF8B1A1A"/>
      </left>
      <right style="medium">
        <color rgb="FF8B1A1A"/>
      </right>
      <top style="medium">
        <color rgb="FF8B1A1A"/>
      </top>
      <bottom style="medium">
        <color rgb="FF8B1A1A"/>
      </bottom>
      <diagonal/>
    </border>
    <border>
      <left/>
      <right style="thin">
        <color rgb="FF1E3A5F"/>
      </right>
      <top/>
      <bottom/>
      <diagonal/>
    </border>
  </borders>
  <cellStyleXfs count="1">
    <xf numFmtId="0" fontId="0" fillId="0" borderId="0"/>
  </cellStyleXfs>
  <cellXfs count="249">
    <xf numFmtId="0" fontId="0" fillId="0" borderId="0" xfId="0"/>
    <xf numFmtId="0" fontId="1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3" borderId="2" xfId="0" applyFill="1" applyBorder="1"/>
    <xf numFmtId="164" fontId="0" fillId="2" borderId="0" xfId="0" applyNumberFormat="1" applyFill="1"/>
    <xf numFmtId="0" fontId="5" fillId="4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5" fillId="8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 wrapText="1"/>
    </xf>
    <xf numFmtId="0" fontId="15" fillId="11" borderId="6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5" fillId="10" borderId="6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8" fillId="10" borderId="6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5" fillId="14" borderId="6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/>
    </xf>
    <xf numFmtId="0" fontId="8" fillId="13" borderId="6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44" fillId="6" borderId="6" xfId="0" applyFont="1" applyFill="1" applyBorder="1" applyAlignment="1">
      <alignment horizontal="center" vertical="center"/>
    </xf>
    <xf numFmtId="0" fontId="44" fillId="12" borderId="6" xfId="0" applyFont="1" applyFill="1" applyBorder="1" applyAlignment="1">
      <alignment horizontal="center" vertical="center"/>
    </xf>
    <xf numFmtId="0" fontId="44" fillId="7" borderId="6" xfId="0" applyFont="1" applyFill="1" applyBorder="1" applyAlignment="1">
      <alignment horizontal="center" vertical="center"/>
    </xf>
    <xf numFmtId="0" fontId="45" fillId="5" borderId="1" xfId="0" applyFont="1" applyFill="1" applyBorder="1" applyAlignment="1">
      <alignment horizontal="left" vertical="center" wrapText="1"/>
    </xf>
    <xf numFmtId="0" fontId="46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164" fontId="26" fillId="5" borderId="1" xfId="0" applyNumberFormat="1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 wrapText="1"/>
    </xf>
    <xf numFmtId="0" fontId="44" fillId="10" borderId="6" xfId="0" applyFont="1" applyFill="1" applyBorder="1" applyAlignment="1">
      <alignment horizontal="center" vertical="center"/>
    </xf>
    <xf numFmtId="0" fontId="44" fillId="11" borderId="6" xfId="0" applyFont="1" applyFill="1" applyBorder="1" applyAlignment="1">
      <alignment horizontal="center" vertical="center"/>
    </xf>
    <xf numFmtId="0" fontId="44" fillId="13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49" fillId="6" borderId="15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49" fillId="10" borderId="15" xfId="0" applyFont="1" applyFill="1" applyBorder="1" applyAlignment="1">
      <alignment horizontal="center" vertical="center" wrapText="1"/>
    </xf>
    <xf numFmtId="0" fontId="49" fillId="12" borderId="1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0" fillId="6" borderId="6" xfId="0" applyFont="1" applyFill="1" applyBorder="1" applyAlignment="1">
      <alignment horizontal="center" vertical="center" wrapText="1"/>
    </xf>
    <xf numFmtId="0" fontId="50" fillId="10" borderId="6" xfId="0" applyFont="1" applyFill="1" applyBorder="1" applyAlignment="1">
      <alignment horizontal="center" vertical="center" wrapText="1"/>
    </xf>
    <xf numFmtId="0" fontId="50" fillId="12" borderId="6" xfId="0" applyFont="1" applyFill="1" applyBorder="1" applyAlignment="1">
      <alignment horizontal="center" vertical="center" wrapText="1"/>
    </xf>
    <xf numFmtId="0" fontId="50" fillId="11" borderId="6" xfId="0" applyFont="1" applyFill="1" applyBorder="1" applyAlignment="1">
      <alignment horizontal="center" vertical="center" wrapText="1"/>
    </xf>
    <xf numFmtId="0" fontId="50" fillId="7" borderId="6" xfId="0" applyFont="1" applyFill="1" applyBorder="1" applyAlignment="1">
      <alignment horizontal="center" vertical="center" wrapText="1"/>
    </xf>
    <xf numFmtId="0" fontId="50" fillId="13" borderId="6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/>
    </xf>
    <xf numFmtId="1" fontId="51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9" fillId="7" borderId="15" xfId="0" applyFont="1" applyFill="1" applyBorder="1" applyAlignment="1">
      <alignment horizontal="center" vertical="center" wrapText="1"/>
    </xf>
    <xf numFmtId="1" fontId="51" fillId="5" borderId="1" xfId="0" applyNumberFormat="1" applyFont="1" applyFill="1" applyBorder="1" applyAlignment="1">
      <alignment horizontal="center" vertical="center"/>
    </xf>
    <xf numFmtId="0" fontId="49" fillId="13" borderId="15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/>
    </xf>
    <xf numFmtId="164" fontId="26" fillId="2" borderId="1" xfId="0" applyNumberFormat="1" applyFont="1" applyFill="1" applyBorder="1" applyAlignment="1">
      <alignment horizontal="center" vertical="center"/>
    </xf>
    <xf numFmtId="0" fontId="54" fillId="5" borderId="1" xfId="0" applyFont="1" applyFill="1" applyBorder="1" applyAlignment="1">
      <alignment horizontal="center" vertical="center"/>
    </xf>
    <xf numFmtId="0" fontId="55" fillId="5" borderId="1" xfId="0" applyFont="1" applyFill="1" applyBorder="1"/>
    <xf numFmtId="10" fontId="55" fillId="5" borderId="1" xfId="0" applyNumberFormat="1" applyFont="1" applyFill="1" applyBorder="1"/>
    <xf numFmtId="164" fontId="67" fillId="3" borderId="1" xfId="0" applyNumberFormat="1" applyFont="1" applyFill="1" applyBorder="1" applyAlignment="1">
      <alignment horizontal="center" vertical="center"/>
    </xf>
    <xf numFmtId="164" fontId="68" fillId="3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 vertical="center"/>
    </xf>
    <xf numFmtId="0" fontId="70" fillId="4" borderId="18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71" fillId="2" borderId="1" xfId="0" applyFont="1" applyFill="1" applyBorder="1" applyAlignment="1">
      <alignment horizontal="left" vertical="center" wrapText="1"/>
    </xf>
    <xf numFmtId="0" fontId="72" fillId="2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71" fillId="5" borderId="1" xfId="0" applyFont="1" applyFill="1" applyBorder="1" applyAlignment="1">
      <alignment horizontal="left" vertical="center" wrapText="1"/>
    </xf>
    <xf numFmtId="0" fontId="73" fillId="5" borderId="1" xfId="0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20" borderId="6" xfId="0" applyFont="1" applyFill="1" applyBorder="1" applyAlignment="1">
      <alignment horizontal="center" vertical="center"/>
    </xf>
    <xf numFmtId="0" fontId="80" fillId="2" borderId="19" xfId="0" applyFont="1" applyFill="1" applyBorder="1" applyAlignment="1">
      <alignment horizontal="center" vertical="center" wrapText="1"/>
    </xf>
    <xf numFmtId="164" fontId="81" fillId="2" borderId="19" xfId="0" applyNumberFormat="1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left" vertical="center"/>
    </xf>
    <xf numFmtId="0" fontId="55" fillId="2" borderId="1" xfId="0" applyFont="1" applyFill="1" applyBorder="1" applyAlignment="1">
      <alignment horizontal="center" vertical="center"/>
    </xf>
    <xf numFmtId="165" fontId="82" fillId="2" borderId="20" xfId="0" applyNumberFormat="1" applyFont="1" applyFill="1" applyBorder="1" applyAlignment="1">
      <alignment horizontal="center" vertical="center"/>
    </xf>
    <xf numFmtId="165" fontId="83" fillId="2" borderId="1" xfId="0" applyNumberFormat="1" applyFont="1" applyFill="1" applyBorder="1" applyAlignment="1">
      <alignment horizontal="center" vertical="center"/>
    </xf>
    <xf numFmtId="164" fontId="84" fillId="2" borderId="1" xfId="0" applyNumberFormat="1" applyFont="1" applyFill="1" applyBorder="1" applyAlignment="1">
      <alignment horizontal="center" vertical="center"/>
    </xf>
    <xf numFmtId="0" fontId="54" fillId="5" borderId="1" xfId="0" applyFont="1" applyFill="1" applyBorder="1" applyAlignment="1">
      <alignment horizontal="left" vertical="center"/>
    </xf>
    <xf numFmtId="0" fontId="55" fillId="5" borderId="1" xfId="0" applyFont="1" applyFill="1" applyBorder="1" applyAlignment="1">
      <alignment horizontal="center" vertical="center"/>
    </xf>
    <xf numFmtId="165" fontId="82" fillId="5" borderId="20" xfId="0" applyNumberFormat="1" applyFont="1" applyFill="1" applyBorder="1" applyAlignment="1">
      <alignment horizontal="center" vertical="center"/>
    </xf>
    <xf numFmtId="165" fontId="83" fillId="5" borderId="1" xfId="0" applyNumberFormat="1" applyFont="1" applyFill="1" applyBorder="1" applyAlignment="1">
      <alignment horizontal="center" vertical="center"/>
    </xf>
    <xf numFmtId="164" fontId="84" fillId="5" borderId="1" xfId="0" applyNumberFormat="1" applyFont="1" applyFill="1" applyBorder="1" applyAlignment="1">
      <alignment horizontal="center" vertical="center"/>
    </xf>
    <xf numFmtId="166" fontId="47" fillId="2" borderId="1" xfId="0" applyNumberFormat="1" applyFont="1" applyFill="1" applyBorder="1" applyAlignment="1">
      <alignment horizontal="center" vertical="center" wrapText="1"/>
    </xf>
    <xf numFmtId="166" fontId="54" fillId="2" borderId="1" xfId="0" applyNumberFormat="1" applyFont="1" applyFill="1" applyBorder="1" applyAlignment="1">
      <alignment horizontal="center" vertical="center" wrapText="1"/>
    </xf>
    <xf numFmtId="164" fontId="85" fillId="2" borderId="1" xfId="0" applyNumberFormat="1" applyFont="1" applyFill="1" applyBorder="1" applyAlignment="1">
      <alignment horizontal="center" vertical="center" wrapText="1"/>
    </xf>
    <xf numFmtId="165" fontId="86" fillId="2" borderId="1" xfId="0" applyNumberFormat="1" applyFont="1" applyFill="1" applyBorder="1" applyAlignment="1">
      <alignment horizontal="center" vertical="center"/>
    </xf>
    <xf numFmtId="165" fontId="87" fillId="2" borderId="1" xfId="0" applyNumberFormat="1" applyFont="1" applyFill="1" applyBorder="1" applyAlignment="1">
      <alignment horizontal="center" vertical="center"/>
    </xf>
    <xf numFmtId="166" fontId="47" fillId="5" borderId="1" xfId="0" applyNumberFormat="1" applyFont="1" applyFill="1" applyBorder="1" applyAlignment="1">
      <alignment horizontal="center" vertical="center" wrapText="1"/>
    </xf>
    <xf numFmtId="166" fontId="54" fillId="5" borderId="1" xfId="0" applyNumberFormat="1" applyFont="1" applyFill="1" applyBorder="1" applyAlignment="1">
      <alignment horizontal="center" vertical="center" wrapText="1"/>
    </xf>
    <xf numFmtId="164" fontId="85" fillId="5" borderId="1" xfId="0" applyNumberFormat="1" applyFont="1" applyFill="1" applyBorder="1" applyAlignment="1">
      <alignment horizontal="center" vertical="center" wrapText="1"/>
    </xf>
    <xf numFmtId="165" fontId="86" fillId="5" borderId="1" xfId="0" applyNumberFormat="1" applyFont="1" applyFill="1" applyBorder="1" applyAlignment="1">
      <alignment horizontal="center" vertical="center"/>
    </xf>
    <xf numFmtId="165" fontId="87" fillId="5" borderId="1" xfId="0" applyNumberFormat="1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horizontal="left" vertical="center"/>
    </xf>
    <xf numFmtId="166" fontId="26" fillId="2" borderId="1" xfId="0" applyNumberFormat="1" applyFont="1" applyFill="1" applyBorder="1" applyAlignment="1">
      <alignment horizontal="center" vertical="center" wrapText="1"/>
    </xf>
    <xf numFmtId="166" fontId="26" fillId="4" borderId="19" xfId="0" applyNumberFormat="1" applyFont="1" applyFill="1" applyBorder="1" applyAlignment="1">
      <alignment horizontal="center" vertical="center" wrapText="1"/>
    </xf>
    <xf numFmtId="164" fontId="6" fillId="4" borderId="19" xfId="0" applyNumberFormat="1" applyFont="1" applyFill="1" applyBorder="1" applyAlignment="1">
      <alignment horizontal="center" vertical="center" wrapText="1"/>
    </xf>
    <xf numFmtId="165" fontId="86" fillId="4" borderId="19" xfId="0" applyNumberFormat="1" applyFont="1" applyFill="1" applyBorder="1" applyAlignment="1">
      <alignment horizontal="center" vertical="center" wrapText="1"/>
    </xf>
    <xf numFmtId="165" fontId="87" fillId="4" borderId="19" xfId="0" applyNumberFormat="1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164" fontId="89" fillId="5" borderId="1" xfId="0" applyNumberFormat="1" applyFont="1" applyFill="1" applyBorder="1" applyAlignment="1">
      <alignment horizontal="center" vertical="center"/>
    </xf>
    <xf numFmtId="164" fontId="91" fillId="5" borderId="1" xfId="0" applyNumberFormat="1" applyFont="1" applyFill="1" applyBorder="1" applyAlignment="1">
      <alignment horizontal="center" vertical="center"/>
    </xf>
    <xf numFmtId="165" fontId="89" fillId="4" borderId="19" xfId="0" applyNumberFormat="1" applyFont="1" applyFill="1" applyBorder="1" applyAlignment="1">
      <alignment horizontal="center" vertical="center"/>
    </xf>
    <xf numFmtId="0" fontId="42" fillId="5" borderId="21" xfId="0" applyFont="1" applyFill="1" applyBorder="1" applyAlignment="1">
      <alignment horizontal="center" vertical="center" wrapText="1"/>
    </xf>
    <xf numFmtId="0" fontId="90" fillId="3" borderId="21" xfId="0" applyFont="1" applyFill="1" applyBorder="1" applyAlignment="1">
      <alignment horizontal="left" vertical="center"/>
    </xf>
    <xf numFmtId="164" fontId="91" fillId="5" borderId="21" xfId="0" applyNumberFormat="1" applyFont="1" applyFill="1" applyBorder="1" applyAlignment="1">
      <alignment horizontal="center" vertical="center"/>
    </xf>
    <xf numFmtId="165" fontId="35" fillId="19" borderId="3" xfId="0" applyNumberFormat="1" applyFont="1" applyFill="1" applyBorder="1" applyAlignment="1">
      <alignment horizontal="center" vertical="center"/>
    </xf>
    <xf numFmtId="0" fontId="38" fillId="3" borderId="10" xfId="0" applyFont="1" applyFill="1" applyBorder="1" applyAlignment="1">
      <alignment horizontal="left" vertical="center"/>
    </xf>
    <xf numFmtId="0" fontId="39" fillId="3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center" vertical="center"/>
    </xf>
    <xf numFmtId="165" fontId="34" fillId="15" borderId="3" xfId="0" applyNumberFormat="1" applyFont="1" applyFill="1" applyBorder="1" applyAlignment="1">
      <alignment horizontal="center" vertical="center"/>
    </xf>
    <xf numFmtId="165" fontId="35" fillId="16" borderId="3" xfId="0" applyNumberFormat="1" applyFont="1" applyFill="1" applyBorder="1" applyAlignment="1">
      <alignment horizontal="center" vertical="center"/>
    </xf>
    <xf numFmtId="165" fontId="36" fillId="17" borderId="3" xfId="0" applyNumberFormat="1" applyFont="1" applyFill="1" applyBorder="1" applyAlignment="1">
      <alignment horizontal="center" vertical="center"/>
    </xf>
    <xf numFmtId="164" fontId="35" fillId="18" borderId="3" xfId="0" applyNumberFormat="1" applyFont="1" applyFill="1" applyBorder="1" applyAlignment="1">
      <alignment horizontal="center" vertical="center"/>
    </xf>
    <xf numFmtId="0" fontId="37" fillId="4" borderId="3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/>
    </xf>
    <xf numFmtId="0" fontId="31" fillId="3" borderId="9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/>
    </xf>
    <xf numFmtId="0" fontId="26" fillId="4" borderId="3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17" fillId="9" borderId="3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9" fontId="4" fillId="3" borderId="3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52" fillId="4" borderId="12" xfId="0" applyFont="1" applyFill="1" applyBorder="1" applyAlignment="1">
      <alignment horizontal="center" vertical="center"/>
    </xf>
    <xf numFmtId="0" fontId="32" fillId="4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left" vertical="center"/>
    </xf>
    <xf numFmtId="0" fontId="45" fillId="5" borderId="13" xfId="0" applyFont="1" applyFill="1" applyBorder="1" applyAlignment="1">
      <alignment horizontal="left" vertical="center"/>
    </xf>
    <xf numFmtId="0" fontId="41" fillId="3" borderId="13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left" vertical="center"/>
    </xf>
    <xf numFmtId="164" fontId="36" fillId="3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40" fillId="4" borderId="12" xfId="0" applyFont="1" applyFill="1" applyBorder="1" applyAlignment="1">
      <alignment horizontal="center" vertical="center"/>
    </xf>
    <xf numFmtId="0" fontId="33" fillId="4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7" fillId="13" borderId="16" xfId="0" applyFont="1" applyFill="1" applyBorder="1" applyAlignment="1">
      <alignment horizontal="center" vertical="center" wrapText="1"/>
    </xf>
    <xf numFmtId="9" fontId="58" fillId="5" borderId="13" xfId="0" applyNumberFormat="1" applyFont="1" applyFill="1" applyBorder="1" applyAlignment="1">
      <alignment horizontal="center" vertical="center"/>
    </xf>
    <xf numFmtId="0" fontId="65" fillId="3" borderId="13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center" vertical="center"/>
    </xf>
    <xf numFmtId="0" fontId="60" fillId="2" borderId="13" xfId="0" applyFont="1" applyFill="1" applyBorder="1" applyAlignment="1">
      <alignment horizontal="left" vertical="center"/>
    </xf>
    <xf numFmtId="0" fontId="57" fillId="7" borderId="16" xfId="0" applyFont="1" applyFill="1" applyBorder="1" applyAlignment="1">
      <alignment horizontal="center" vertical="center" wrapText="1"/>
    </xf>
    <xf numFmtId="0" fontId="64" fillId="3" borderId="13" xfId="0" applyFont="1" applyFill="1" applyBorder="1" applyAlignment="1">
      <alignment horizontal="left" vertical="center"/>
    </xf>
    <xf numFmtId="0" fontId="57" fillId="11" borderId="16" xfId="0" applyFont="1" applyFill="1" applyBorder="1" applyAlignment="1">
      <alignment horizontal="center" vertical="center" wrapText="1"/>
    </xf>
    <xf numFmtId="0" fontId="63" fillId="3" borderId="13" xfId="0" applyFont="1" applyFill="1" applyBorder="1" applyAlignment="1">
      <alignment horizontal="left" vertical="center"/>
    </xf>
    <xf numFmtId="0" fontId="57" fillId="12" borderId="16" xfId="0" applyFont="1" applyFill="1" applyBorder="1" applyAlignment="1">
      <alignment horizontal="center" vertical="center" wrapText="1"/>
    </xf>
    <xf numFmtId="0" fontId="62" fillId="3" borderId="13" xfId="0" applyFont="1" applyFill="1" applyBorder="1" applyAlignment="1">
      <alignment horizontal="left" vertical="center"/>
    </xf>
    <xf numFmtId="0" fontId="57" fillId="10" borderId="16" xfId="0" applyFont="1" applyFill="1" applyBorder="1" applyAlignment="1">
      <alignment horizontal="center" vertical="center" wrapText="1"/>
    </xf>
    <xf numFmtId="0" fontId="61" fillId="3" borderId="13" xfId="0" applyFont="1" applyFill="1" applyBorder="1" applyAlignment="1">
      <alignment horizontal="left" vertical="center"/>
    </xf>
    <xf numFmtId="0" fontId="53" fillId="4" borderId="12" xfId="0" applyFont="1" applyFill="1" applyBorder="1" applyAlignment="1">
      <alignment horizontal="center" vertical="center"/>
    </xf>
    <xf numFmtId="0" fontId="56" fillId="4" borderId="12" xfId="0" applyFont="1" applyFill="1" applyBorder="1" applyAlignment="1">
      <alignment horizontal="center" vertical="center"/>
    </xf>
    <xf numFmtId="0" fontId="57" fillId="6" borderId="16" xfId="0" applyFont="1" applyFill="1" applyBorder="1" applyAlignment="1">
      <alignment horizontal="center" vertical="center" wrapText="1"/>
    </xf>
    <xf numFmtId="0" fontId="59" fillId="3" borderId="13" xfId="0" applyFont="1" applyFill="1" applyBorder="1" applyAlignment="1">
      <alignment horizontal="left" vertical="center"/>
    </xf>
    <xf numFmtId="0" fontId="16" fillId="4" borderId="13" xfId="0" applyFont="1" applyFill="1" applyBorder="1" applyAlignment="1">
      <alignment horizontal="left" vertical="center"/>
    </xf>
    <xf numFmtId="0" fontId="13" fillId="5" borderId="13" xfId="0" applyFont="1" applyFill="1" applyBorder="1" applyAlignment="1">
      <alignment horizontal="left" vertical="center" wrapText="1"/>
    </xf>
    <xf numFmtId="0" fontId="78" fillId="4" borderId="13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 wrapText="1"/>
    </xf>
    <xf numFmtId="0" fontId="79" fillId="4" borderId="13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75" fillId="4" borderId="13" xfId="0" applyFont="1" applyFill="1" applyBorder="1" applyAlignment="1">
      <alignment horizontal="left" vertical="center"/>
    </xf>
    <xf numFmtId="0" fontId="76" fillId="4" borderId="13" xfId="0" applyFont="1" applyFill="1" applyBorder="1" applyAlignment="1">
      <alignment horizontal="left" vertical="center"/>
    </xf>
    <xf numFmtId="0" fontId="77" fillId="4" borderId="13" xfId="0" applyFont="1" applyFill="1" applyBorder="1" applyAlignment="1">
      <alignment horizontal="left" vertical="center"/>
    </xf>
    <xf numFmtId="0" fontId="69" fillId="7" borderId="17" xfId="0" applyFont="1" applyFill="1" applyBorder="1" applyAlignment="1">
      <alignment horizontal="left" vertical="center" wrapText="1"/>
    </xf>
    <xf numFmtId="0" fontId="69" fillId="11" borderId="17" xfId="0" applyFont="1" applyFill="1" applyBorder="1" applyAlignment="1">
      <alignment horizontal="left" vertical="center" wrapText="1"/>
    </xf>
    <xf numFmtId="0" fontId="17" fillId="4" borderId="12" xfId="0" applyFont="1" applyFill="1" applyBorder="1" applyAlignment="1">
      <alignment horizontal="center" vertical="center"/>
    </xf>
    <xf numFmtId="0" fontId="74" fillId="4" borderId="13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center" vertical="center" wrapText="1"/>
    </xf>
    <xf numFmtId="0" fontId="66" fillId="4" borderId="14" xfId="0" applyFont="1" applyFill="1" applyBorder="1" applyAlignment="1">
      <alignment horizontal="left" vertical="center"/>
    </xf>
    <xf numFmtId="0" fontId="88" fillId="3" borderId="1" xfId="0" applyFont="1" applyFill="1" applyBorder="1" applyAlignment="1">
      <alignment horizontal="left" vertical="center"/>
    </xf>
    <xf numFmtId="0" fontId="90" fillId="3" borderId="1" xfId="0" applyFont="1" applyFill="1" applyBorder="1" applyAlignment="1">
      <alignment horizontal="left" vertical="center"/>
    </xf>
    <xf numFmtId="0" fontId="32" fillId="4" borderId="3" xfId="0" applyFont="1" applyFill="1" applyBorder="1" applyAlignment="1">
      <alignment horizontal="center" vertical="center" wrapText="1"/>
    </xf>
    <xf numFmtId="0" fontId="92" fillId="9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5" fontId="93" fillId="16" borderId="3" xfId="0" applyNumberFormat="1" applyFont="1" applyFill="1" applyBorder="1" applyAlignment="1">
      <alignment horizontal="center" vertical="center"/>
    </xf>
    <xf numFmtId="0" fontId="94" fillId="16" borderId="3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165" fontId="34" fillId="15" borderId="19" xfId="0" applyNumberFormat="1" applyFont="1" applyFill="1" applyBorder="1" applyAlignment="1">
      <alignment horizontal="center" vertical="center"/>
    </xf>
    <xf numFmtId="165" fontId="35" fillId="16" borderId="19" xfId="0" applyNumberFormat="1" applyFont="1" applyFill="1" applyBorder="1" applyAlignment="1">
      <alignment horizontal="center" vertical="center"/>
    </xf>
    <xf numFmtId="165" fontId="36" fillId="17" borderId="19" xfId="0" applyNumberFormat="1" applyFont="1" applyFill="1" applyBorder="1" applyAlignment="1">
      <alignment horizontal="center" vertical="center"/>
    </xf>
    <xf numFmtId="165" fontId="53" fillId="21" borderId="19" xfId="0" applyNumberFormat="1" applyFont="1" applyFill="1" applyBorder="1" applyAlignment="1">
      <alignment horizontal="center" vertical="center"/>
    </xf>
    <xf numFmtId="0" fontId="5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F39C12"/>
        <name val="Calibri"/>
        <charset val="1"/>
      </font>
      <fill>
        <patternFill>
          <bgColor rgb="FF3D2500"/>
        </patternFill>
      </fill>
    </dxf>
    <dxf>
      <fill>
        <patternFill>
          <bgColor rgb="FF0A0E1A"/>
        </patternFill>
      </fill>
    </dxf>
    <dxf>
      <font>
        <b/>
        <sz val="10"/>
        <color rgb="FFE74C3C"/>
        <name val="Calibri"/>
        <charset val="1"/>
      </font>
      <fill>
        <patternFill>
          <bgColor rgb="FF4A0A0A"/>
        </patternFill>
      </fill>
    </dxf>
    <dxf>
      <font>
        <b/>
        <sz val="10"/>
        <color rgb="FFFFFFFF"/>
        <name val="Calibri"/>
        <charset val="1"/>
      </font>
      <fill>
        <patternFill>
          <bgColor rgb="FF1E7A3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5C4400"/>
      <rgbColor rgb="FF00FF00"/>
      <rgbColor rgb="FF1A3A5F"/>
      <rgbColor rgb="FFFFFF00"/>
      <rgbColor rgb="FF0A0E1A"/>
      <rgbColor rgb="FF00FFFF"/>
      <rgbColor rgb="FF8B1A1A"/>
      <rgbColor rgb="FF1E7A3A"/>
      <rgbColor rgb="FF1A1A6B"/>
      <rgbColor rgb="FF7D4A00"/>
      <rgbColor rgb="FF4A0A0A"/>
      <rgbColor rgb="FF1A6B3A"/>
      <rgbColor rgb="FFA0B4C8"/>
      <rgbColor rgb="FF878787"/>
      <rgbColor rgb="FF4F81BD"/>
      <rgbColor rgb="FFC0504D"/>
      <rgbColor rgb="FFF0F4FF"/>
      <rgbColor rgb="FFD6E4F0"/>
      <rgbColor rgb="FF5B0E91"/>
      <rgbColor rgb="FF000D1A"/>
      <rgbColor rgb="FF2E5F99"/>
      <rgbColor rgb="FFD9D9D9"/>
      <rgbColor rgb="FF0F1829"/>
      <rgbColor rgb="FF070B13"/>
      <rgbColor rgb="FFFFFF00"/>
      <rgbColor rgb="FF00FFFF"/>
      <rgbColor rgb="FF7C3AED"/>
      <rgbColor rgb="FF5B1A1A"/>
      <rgbColor rgb="FF1A4B8C"/>
      <rgbColor rgb="FF1A2640"/>
      <rgbColor rgb="FF0D4F3C"/>
      <rgbColor rgb="FFCCFFFF"/>
      <rgbColor rgb="FFCCFFCC"/>
      <rgbColor rgb="FFFFFF99"/>
      <rgbColor rgb="FF99CCFF"/>
      <rgbColor rgb="FFFF99CC"/>
      <rgbColor rgb="FFCC99FF"/>
      <rgbColor rgb="FFE8C86A"/>
      <rgbColor rgb="FF397BCA"/>
      <rgbColor rgb="FF2ECC71"/>
      <rgbColor rgb="FF0D3B2E"/>
      <rgbColor rgb="FFFFCC00"/>
      <rgbColor rgb="FFF39C12"/>
      <rgbColor rgb="FFE74C3C"/>
      <rgbColor rgb="FF6B8099"/>
      <rgbColor rgb="FFC9A84C"/>
      <rgbColor rgb="FF1A3A6B"/>
      <rgbColor rgb="FF10B981"/>
      <rgbColor rgb="FF00382E"/>
      <rgbColor rgb="FF3D2500"/>
      <rgbColor rgb="FF9C2F2C"/>
      <rgbColor rgb="FFCE3A36"/>
      <rgbColor rgb="FF1E3A5F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Sessions Attended vs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Analytics'!$B$3</c:f>
              <c:strCache>
                <c:ptCount val="1"/>
                <c:pt idx="0">
                  <c:v>ATTENDED</c:v>
                </c:pt>
              </c:strCache>
            </c:strRef>
          </c:tx>
          <c:spPr>
            <a:solidFill>
              <a:srgbClr val="2ECC7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Analytics'!$A$4:$A$9</c:f>
              <c:strCache>
                <c:ptCount val="6"/>
                <c:pt idx="0">
                  <c:v>Chinese Language 2</c:v>
                </c:pt>
                <c:pt idx="1">
                  <c:v>Sci Paper Writing</c:v>
                </c:pt>
                <c:pt idx="2">
                  <c:v>RS Image Processing</c:v>
                </c:pt>
                <c:pt idx="3">
                  <c:v>UAV Remote Sensing</c:v>
                </c:pt>
                <c:pt idx="4">
                  <c:v>RS Natural Disasters</c:v>
                </c:pt>
                <c:pt idx="5">
                  <c:v>AI &amp; Large Models</c:v>
                </c:pt>
              </c:strCache>
            </c:strRef>
          </c:cat>
          <c:val>
            <c:numRef>
              <c:f>'📊 Analytics'!$B$4:$B$9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4-4CE1-BF50-0ADE0C01EC50}"/>
            </c:ext>
          </c:extLst>
        </c:ser>
        <c:ser>
          <c:idx val="1"/>
          <c:order val="1"/>
          <c:tx>
            <c:strRef>
              <c:f>'📊 Analytics'!$C$3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C3E5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Analytics'!$A$4:$A$9</c:f>
              <c:strCache>
                <c:ptCount val="6"/>
                <c:pt idx="0">
                  <c:v>Chinese Language 2</c:v>
                </c:pt>
                <c:pt idx="1">
                  <c:v>Sci Paper Writing</c:v>
                </c:pt>
                <c:pt idx="2">
                  <c:v>RS Image Processing</c:v>
                </c:pt>
                <c:pt idx="3">
                  <c:v>UAV Remote Sensing</c:v>
                </c:pt>
                <c:pt idx="4">
                  <c:v>RS Natural Disasters</c:v>
                </c:pt>
                <c:pt idx="5">
                  <c:v>AI &amp; Large Models</c:v>
                </c:pt>
              </c:strCache>
            </c:strRef>
          </c:cat>
          <c:val>
            <c:numRef>
              <c:f>'📊 Analytics'!$C$4:$C$9</c:f>
              <c:numCache>
                <c:formatCode>General</c:formatCode>
                <c:ptCount val="6"/>
                <c:pt idx="0">
                  <c:v>32</c:v>
                </c:pt>
                <c:pt idx="1">
                  <c:v>16</c:v>
                </c:pt>
                <c:pt idx="2">
                  <c:v>20</c:v>
                </c:pt>
                <c:pt idx="3">
                  <c:v>24</c:v>
                </c:pt>
                <c:pt idx="4">
                  <c:v>18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4-4CE1-BF50-0ADE0C01E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92399"/>
        <c:axId val="45010516"/>
      </c:barChart>
      <c:catAx>
        <c:axId val="175923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Course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10516"/>
        <c:crosses val="autoZero"/>
        <c:auto val="1"/>
        <c:lblAlgn val="ctr"/>
        <c:lblOffset val="100"/>
        <c:noMultiLvlLbl val="0"/>
      </c:catAx>
      <c:valAx>
        <c:axId val="45010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923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20B-43E7-867E-8A45BA77E474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20B-43E7-867E-8A45BA77E4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0B-43E7-867E-8A45BA77E4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0B-43E7-867E-8A45BA77E4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Analytics'!$A$12:$A$13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'📊 Analytics'!$B$12:$B$13</c:f>
              <c:numCache>
                <c:formatCode>0.00%</c:formatCode>
                <c:ptCount val="2"/>
                <c:pt idx="0">
                  <c:v>0.10312500000000001</c:v>
                </c:pt>
                <c:pt idx="1">
                  <c:v>0.89687499999999998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0B-43E7-867E-8A45BA77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13</xdr:col>
      <xdr:colOff>783720</xdr:colOff>
      <xdr:row>26</xdr:row>
      <xdr:rowOff>84600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14</xdr:row>
      <xdr:rowOff>0</xdr:rowOff>
    </xdr:from>
    <xdr:to>
      <xdr:col>5</xdr:col>
      <xdr:colOff>456480</xdr:colOff>
      <xdr:row>38</xdr:row>
      <xdr:rowOff>94680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Z31"/>
  <sheetViews>
    <sheetView showGridLines="0" topLeftCell="A5" zoomScaleNormal="100" workbookViewId="0">
      <selection activeCell="A28" sqref="A28:X28"/>
    </sheetView>
  </sheetViews>
  <sheetFormatPr defaultColWidth="8.7109375" defaultRowHeight="15" x14ac:dyDescent="0.25"/>
  <cols>
    <col min="1" max="2" width="2" customWidth="1"/>
    <col min="3" max="6" width="14" customWidth="1"/>
    <col min="7" max="7" width="1.5703125" customWidth="1"/>
    <col min="8" max="11" width="14" customWidth="1"/>
    <col min="12" max="12" width="1.5703125" customWidth="1"/>
    <col min="13" max="15" width="18" customWidth="1"/>
    <col min="16" max="16" width="6" customWidth="1"/>
    <col min="17" max="17" width="1.5703125" customWidth="1"/>
    <col min="18" max="19" width="18" customWidth="1"/>
    <col min="20" max="20" width="10" customWidth="1"/>
    <col min="21" max="21" width="1.5703125" customWidth="1"/>
    <col min="22" max="22" width="18" customWidth="1"/>
    <col min="23" max="23" width="14" customWidth="1"/>
    <col min="24" max="24" width="10" customWidth="1"/>
    <col min="26" max="26" width="3" customWidth="1"/>
  </cols>
  <sheetData>
    <row r="1" spans="1:26" ht="6" customHeight="1" x14ac:dyDescent="0.25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3"/>
      <c r="M1" s="2"/>
      <c r="N1" s="2"/>
      <c r="O1" s="2"/>
      <c r="P1" s="2"/>
      <c r="Q1" s="3"/>
      <c r="R1" s="2"/>
      <c r="S1" s="2"/>
      <c r="T1" s="2"/>
      <c r="U1" s="3"/>
      <c r="V1" s="2"/>
      <c r="W1" s="2"/>
      <c r="X1" s="2"/>
      <c r="Z1" s="4">
        <f>IFERROR('📅 Timetable'!O6,0)</f>
        <v>9.375E-2</v>
      </c>
    </row>
    <row r="2" spans="1:26" ht="51.75" customHeight="1" x14ac:dyDescent="0.25">
      <c r="A2" s="188" t="s">
        <v>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Z2" s="4">
        <f>IFERROR('📅 Timetable'!O7,0)</f>
        <v>0.1875</v>
      </c>
    </row>
    <row r="3" spans="1:26" ht="6" customHeight="1" x14ac:dyDescent="0.25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3"/>
      <c r="V3" s="2"/>
      <c r="W3" s="2"/>
      <c r="X3" s="2"/>
      <c r="Z3" s="4">
        <f>IFERROR('📅 Timetable'!O8,0)</f>
        <v>0.15</v>
      </c>
    </row>
    <row r="4" spans="1:26" ht="27.75" customHeight="1" x14ac:dyDescent="0.25">
      <c r="A4" s="189" t="s">
        <v>1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Z4" s="4">
        <f>IFERROR('📅 Timetable'!O9,0)</f>
        <v>0</v>
      </c>
    </row>
    <row r="5" spans="1:26" ht="7.5" customHeight="1" x14ac:dyDescent="0.2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3"/>
      <c r="M5" s="2"/>
      <c r="N5" s="2"/>
      <c r="O5" s="2"/>
      <c r="P5" s="2"/>
      <c r="Q5" s="3"/>
      <c r="R5" s="2"/>
      <c r="S5" s="2"/>
      <c r="T5" s="2"/>
      <c r="U5" s="3"/>
      <c r="V5" s="2"/>
      <c r="W5" s="2"/>
      <c r="X5" s="2"/>
      <c r="Z5" s="4">
        <f>IFERROR('📅 Timetable'!O10,0)</f>
        <v>0</v>
      </c>
    </row>
    <row r="6" spans="1:26" ht="21.75" customHeight="1" x14ac:dyDescent="0.25">
      <c r="A6" s="2"/>
      <c r="B6" s="2"/>
      <c r="C6" s="190" t="s">
        <v>2</v>
      </c>
      <c r="D6" s="190"/>
      <c r="E6" s="190"/>
      <c r="F6" s="190"/>
      <c r="G6" s="3"/>
      <c r="H6" s="190" t="s">
        <v>3</v>
      </c>
      <c r="I6" s="190"/>
      <c r="J6" s="190"/>
      <c r="K6" s="190"/>
      <c r="L6" s="3"/>
      <c r="M6" s="190" t="s">
        <v>4</v>
      </c>
      <c r="N6" s="190"/>
      <c r="O6" s="190"/>
      <c r="P6" s="190"/>
      <c r="Q6" s="3"/>
      <c r="R6" s="190" t="s">
        <v>5</v>
      </c>
      <c r="S6" s="190"/>
      <c r="T6" s="190"/>
      <c r="U6" s="3"/>
      <c r="V6" s="190" t="s">
        <v>6</v>
      </c>
      <c r="W6" s="190"/>
      <c r="X6" s="190"/>
      <c r="Z6" s="4">
        <f>IFERROR('📅 Timetable'!O11,0)</f>
        <v>0.1875</v>
      </c>
    </row>
    <row r="7" spans="1:26" ht="6" customHeight="1" x14ac:dyDescent="0.25">
      <c r="A7" s="2"/>
      <c r="B7" s="2"/>
      <c r="C7" s="2"/>
      <c r="D7" s="2"/>
      <c r="E7" s="2"/>
      <c r="F7" s="2"/>
      <c r="G7" s="3"/>
      <c r="H7" s="2"/>
      <c r="I7" s="2"/>
      <c r="J7" s="2"/>
      <c r="K7" s="2"/>
      <c r="L7" s="3"/>
      <c r="M7" s="2"/>
      <c r="N7" s="2"/>
      <c r="O7" s="2"/>
      <c r="P7" s="2"/>
      <c r="Q7" s="3"/>
      <c r="R7" s="2"/>
      <c r="S7" s="2"/>
      <c r="T7" s="2"/>
      <c r="U7" s="3"/>
      <c r="V7" s="2"/>
      <c r="W7" s="2"/>
      <c r="X7" s="2"/>
    </row>
    <row r="8" spans="1:26" ht="48" customHeight="1" x14ac:dyDescent="0.25">
      <c r="A8" s="2"/>
      <c r="B8" s="2"/>
      <c r="C8" s="185">
        <f>IFERROR(AVERAGE(Z1:Z6),0)</f>
        <v>0.10312500000000001</v>
      </c>
      <c r="D8" s="185"/>
      <c r="E8" s="185"/>
      <c r="F8" s="185"/>
      <c r="G8" s="3"/>
      <c r="H8" s="5" t="s">
        <v>7</v>
      </c>
      <c r="I8" s="5" t="s">
        <v>8</v>
      </c>
      <c r="J8" s="5" t="s">
        <v>9</v>
      </c>
      <c r="K8" s="5" t="s">
        <v>10</v>
      </c>
      <c r="L8" s="3"/>
      <c r="M8" s="170" t="s">
        <v>11</v>
      </c>
      <c r="N8" s="170"/>
      <c r="O8" s="170"/>
      <c r="P8" s="170"/>
      <c r="Q8" s="3"/>
      <c r="R8" s="170" t="s">
        <v>12</v>
      </c>
      <c r="S8" s="170"/>
      <c r="T8" s="170"/>
      <c r="U8" s="3"/>
      <c r="V8" s="170" t="s">
        <v>13</v>
      </c>
      <c r="W8" s="170"/>
      <c r="X8" s="170"/>
    </row>
    <row r="9" spans="1:26" ht="21.75" customHeight="1" x14ac:dyDescent="0.25">
      <c r="A9" s="2"/>
      <c r="B9" s="2"/>
      <c r="C9" s="186" t="str">
        <f>REPT("█",ROUND(IFERROR(AVERAGE(Z1:Z6),0)*20,0))&amp;REPT("░",20-ROUND(IFERROR(AVERAGE(Z1:Z6),0)*20,0))</f>
        <v>██░░░░░░░░░░░░░░░░░░</v>
      </c>
      <c r="D9" s="186"/>
      <c r="E9" s="186"/>
      <c r="F9" s="186"/>
      <c r="G9" s="3"/>
      <c r="H9" s="6" t="s">
        <v>14</v>
      </c>
      <c r="I9" s="7">
        <f>IFERROR('📅 Timetable'!M6,0)</f>
        <v>3</v>
      </c>
      <c r="J9" s="8">
        <v>32</v>
      </c>
      <c r="K9" s="9" t="str">
        <f>IF(IFERROR('📅 Timetable'!O6,0)=1,"✅ DONE",IF(IFERROR('📅 Timetable'!O6,0)&gt;0,"⏳ Active","🔒 Pending"))</f>
        <v>⏳ Active</v>
      </c>
      <c r="L9" s="3"/>
      <c r="M9" s="10" t="s">
        <v>15</v>
      </c>
      <c r="N9" s="11" t="s">
        <v>16</v>
      </c>
      <c r="O9" s="179"/>
      <c r="P9" s="179"/>
      <c r="Q9" s="3"/>
      <c r="R9" s="187" t="s">
        <v>17</v>
      </c>
      <c r="S9" s="187"/>
      <c r="T9" s="187"/>
      <c r="U9" s="3"/>
      <c r="V9" s="12" t="s">
        <v>18</v>
      </c>
      <c r="W9" s="11" t="s">
        <v>19</v>
      </c>
      <c r="X9" s="13" t="s">
        <v>20</v>
      </c>
    </row>
    <row r="10" spans="1:26" ht="19.5" customHeight="1" x14ac:dyDescent="0.25">
      <c r="A10" s="2"/>
      <c r="B10" s="2"/>
      <c r="C10" s="182" t="str">
        <f>IF(IFERROR(AVERAGE(Z1:Z6),0)=1,"🏆  ALL COURSES COMPLETE — MISSION ACCOMPLISHED",IF(IFERROR(AVERAGE(Z1:Z6),0)&gt;=0.75,"⚡  STRONG PROGRESS — KEEP PUSHING",IF(IFERROR(AVERAGE(Z1:Z6),0)&gt;=0.5,"📈  HALFWAY THERE — MAINTAIN MOMENTUM",IF(IFERROR(AVERAGE(Z1:Z6),0)&gt;0,"🎯  IN PROGRESS — STAY FOCUSED","📌  SEMESTER NOT YET STARTED"))))</f>
        <v>🎯  IN PROGRESS — STAY FOCUSED</v>
      </c>
      <c r="D10" s="182"/>
      <c r="E10" s="182"/>
      <c r="F10" s="182"/>
      <c r="G10" s="3"/>
      <c r="H10" s="14" t="s">
        <v>21</v>
      </c>
      <c r="I10" s="15">
        <f>IFERROR('📅 Timetable'!M7,0)</f>
        <v>3</v>
      </c>
      <c r="J10" s="16">
        <v>16</v>
      </c>
      <c r="K10" s="17" t="str">
        <f>IF(IFERROR('📅 Timetable'!O7,0)=1,"✅ DONE",IF(IFERROR('📅 Timetable'!O7,0)&gt;0,"⏳ Active","🔒 Pending"))</f>
        <v>⏳ Active</v>
      </c>
      <c r="L10" s="3"/>
      <c r="M10" s="18" t="s">
        <v>22</v>
      </c>
      <c r="N10" s="19" t="s">
        <v>23</v>
      </c>
      <c r="O10" s="183"/>
      <c r="P10" s="183"/>
      <c r="Q10" s="3"/>
      <c r="R10" s="20" t="s">
        <v>24</v>
      </c>
      <c r="S10" s="21" t="s">
        <v>25</v>
      </c>
      <c r="T10" s="2"/>
      <c r="U10" s="3"/>
      <c r="V10" s="22" t="s">
        <v>18</v>
      </c>
      <c r="W10" s="19" t="s">
        <v>26</v>
      </c>
      <c r="X10" s="23" t="s">
        <v>27</v>
      </c>
    </row>
    <row r="11" spans="1:26" ht="19.5" customHeight="1" x14ac:dyDescent="0.25">
      <c r="A11" s="2"/>
      <c r="B11" s="2"/>
      <c r="C11" s="2"/>
      <c r="D11" s="2"/>
      <c r="E11" s="2"/>
      <c r="F11" s="2"/>
      <c r="G11" s="3"/>
      <c r="H11" s="24" t="s">
        <v>28</v>
      </c>
      <c r="I11" s="7">
        <f>IFERROR('📅 Timetable'!M8,0)</f>
        <v>3</v>
      </c>
      <c r="J11" s="8">
        <v>20</v>
      </c>
      <c r="K11" s="9" t="str">
        <f>IF(IFERROR('📅 Timetable'!O8,0)=1,"✅ DONE",IF(IFERROR('📅 Timetable'!O8,0)&gt;0,"⏳ Active","🔒 Pending"))</f>
        <v>⏳ Active</v>
      </c>
      <c r="L11" s="3"/>
      <c r="M11" s="10" t="s">
        <v>29</v>
      </c>
      <c r="N11" s="11" t="s">
        <v>30</v>
      </c>
      <c r="O11" s="179"/>
      <c r="P11" s="179"/>
      <c r="Q11" s="3"/>
      <c r="R11" s="25" t="s">
        <v>31</v>
      </c>
      <c r="S11" s="26" t="str">
        <f>IFERROR(COUNTIF('📄 Research Hub'!C8:C22,"✅"),0)&amp;" / 15"</f>
        <v>12 / 15</v>
      </c>
      <c r="T11" s="27"/>
      <c r="U11" s="3"/>
      <c r="V11" s="28" t="s">
        <v>18</v>
      </c>
      <c r="W11" s="11" t="s">
        <v>32</v>
      </c>
      <c r="X11" s="13" t="s">
        <v>33</v>
      </c>
    </row>
    <row r="12" spans="1:26" ht="19.5" customHeight="1" x14ac:dyDescent="0.25">
      <c r="A12" s="2"/>
      <c r="B12" s="2"/>
      <c r="C12" s="184" t="s">
        <v>34</v>
      </c>
      <c r="D12" s="184"/>
      <c r="E12" s="184"/>
      <c r="F12" s="184"/>
      <c r="G12" s="3"/>
      <c r="H12" s="29" t="s">
        <v>35</v>
      </c>
      <c r="I12" s="15">
        <f>IFERROR('📅 Timetable'!M9,0)</f>
        <v>0</v>
      </c>
      <c r="J12" s="16">
        <v>24</v>
      </c>
      <c r="K12" s="17" t="str">
        <f>IF(IFERROR('📅 Timetable'!O9,0)=1,"✅ DONE",IF(IFERROR('📅 Timetable'!O9,0)&gt;0,"⏳ Active","🔒 Pending"))</f>
        <v>🔒 Pending</v>
      </c>
      <c r="L12" s="3"/>
      <c r="M12" s="18" t="s">
        <v>36</v>
      </c>
      <c r="N12" s="19" t="s">
        <v>37</v>
      </c>
      <c r="O12" s="183"/>
      <c r="P12" s="183"/>
      <c r="Q12" s="3"/>
      <c r="R12" s="20" t="s">
        <v>38</v>
      </c>
      <c r="S12" s="21" t="str">
        <f>IFERROR(TEXT('📄 Research Hub'!D4,"0.0%"),"0.0%")</f>
        <v>80.0%</v>
      </c>
      <c r="T12" s="2"/>
      <c r="U12" s="3"/>
      <c r="V12" s="30" t="s">
        <v>18</v>
      </c>
      <c r="W12" s="19" t="s">
        <v>39</v>
      </c>
      <c r="X12" s="23" t="s">
        <v>40</v>
      </c>
    </row>
    <row r="13" spans="1:26" ht="19.5" customHeight="1" x14ac:dyDescent="0.25">
      <c r="A13" s="2"/>
      <c r="B13" s="2"/>
      <c r="C13" s="31" t="s">
        <v>41</v>
      </c>
      <c r="D13" s="32" t="s">
        <v>14</v>
      </c>
      <c r="E13" s="178" t="str">
        <f>REPT("█",ROUND(IFERROR('📅 Timetable'!O6,0)*10,0))&amp;REPT("░",10-ROUND(IFERROR('📅 Timetable'!O6,0)*10,0))&amp;"  "&amp;TEXT(IFERROR('📅 Timetable'!O6,0),"0%")</f>
        <v>█░░░░░░░░░  9%</v>
      </c>
      <c r="F13" s="178"/>
      <c r="G13" s="3"/>
      <c r="H13" s="34" t="s">
        <v>42</v>
      </c>
      <c r="I13" s="7">
        <f>IFERROR('📅 Timetable'!M10,0)</f>
        <v>0</v>
      </c>
      <c r="J13" s="8">
        <v>18</v>
      </c>
      <c r="K13" s="9" t="str">
        <f>IF(IFERROR('📅 Timetable'!O10,0)=1,"✅ DONE",IF(IFERROR('📅 Timetable'!O10,0)&gt;0,"⏳ Active","🔒 Pending"))</f>
        <v>🔒 Pending</v>
      </c>
      <c r="L13" s="3"/>
      <c r="M13" s="10" t="s">
        <v>43</v>
      </c>
      <c r="N13" s="11" t="s">
        <v>44</v>
      </c>
      <c r="O13" s="179"/>
      <c r="P13" s="179"/>
      <c r="Q13" s="3"/>
      <c r="R13" s="25" t="s">
        <v>45</v>
      </c>
      <c r="S13" s="35" t="s">
        <v>46</v>
      </c>
      <c r="T13" s="27"/>
      <c r="U13" s="3"/>
      <c r="V13" s="22" t="s">
        <v>18</v>
      </c>
      <c r="W13" s="11" t="s">
        <v>47</v>
      </c>
      <c r="X13" s="13" t="s">
        <v>48</v>
      </c>
    </row>
    <row r="14" spans="1:26" ht="19.5" customHeight="1" x14ac:dyDescent="0.25">
      <c r="A14" s="2"/>
      <c r="B14" s="2"/>
      <c r="C14" s="36" t="s">
        <v>49</v>
      </c>
      <c r="D14" s="37" t="s">
        <v>21</v>
      </c>
      <c r="E14" s="180" t="str">
        <f>REPT("█",ROUND(IFERROR('📅 Timetable'!O7,0)*10,0))&amp;REPT("░",10-ROUND(IFERROR('📅 Timetable'!O7,0)*10,0))&amp;"  "&amp;TEXT(IFERROR('📅 Timetable'!O7,0),"0%")</f>
        <v>██░░░░░░░░  19%</v>
      </c>
      <c r="F14" s="180"/>
      <c r="G14" s="3"/>
      <c r="H14" s="39" t="s">
        <v>50</v>
      </c>
      <c r="I14" s="15">
        <f>IFERROR('📅 Timetable'!M11,0)</f>
        <v>3</v>
      </c>
      <c r="J14" s="16">
        <v>16</v>
      </c>
      <c r="K14" s="17" t="str">
        <f>IF(IFERROR('📅 Timetable'!O11,0)=1,"✅ DONE",IF(IFERROR('📅 Timetable'!O11,0)&gt;0,"⏳ Active","🔒 Pending"))</f>
        <v>⏳ Active</v>
      </c>
      <c r="L14" s="3"/>
      <c r="M14" s="40" t="s">
        <v>51</v>
      </c>
      <c r="N14" s="41" t="s">
        <v>52</v>
      </c>
      <c r="O14" s="165" t="s">
        <v>53</v>
      </c>
      <c r="P14" s="165"/>
      <c r="Q14" s="3"/>
      <c r="R14" s="20" t="s">
        <v>54</v>
      </c>
      <c r="S14" s="42" t="s">
        <v>55</v>
      </c>
      <c r="T14" s="2"/>
      <c r="U14" s="3"/>
      <c r="V14" s="43" t="s">
        <v>18</v>
      </c>
      <c r="W14" s="19" t="s">
        <v>56</v>
      </c>
      <c r="X14" s="23" t="s">
        <v>57</v>
      </c>
    </row>
    <row r="15" spans="1:26" ht="21.75" customHeight="1" x14ac:dyDescent="0.25">
      <c r="A15" s="2"/>
      <c r="B15" s="2"/>
      <c r="C15" s="44" t="s">
        <v>58</v>
      </c>
      <c r="D15" s="45" t="s">
        <v>28</v>
      </c>
      <c r="E15" s="181" t="str">
        <f>REPT("█",ROUND(IFERROR('📅 Timetable'!O8,0)*10,0))&amp;REPT("░",10-ROUND(IFERROR('📅 Timetable'!O8,0)*10,0))&amp;"  "&amp;TEXT(IFERROR('📅 Timetable'!O8,0),"0%")</f>
        <v>██░░░░░░░░  15%</v>
      </c>
      <c r="F15" s="181"/>
      <c r="G15" s="3"/>
      <c r="H15" s="2"/>
      <c r="I15" s="2"/>
      <c r="J15" s="2"/>
      <c r="K15" s="2"/>
      <c r="L15" s="3"/>
      <c r="M15" s="10" t="s">
        <v>59</v>
      </c>
      <c r="N15" s="11" t="s">
        <v>60</v>
      </c>
      <c r="O15" s="179"/>
      <c r="P15" s="179"/>
      <c r="Q15" s="3"/>
      <c r="R15" s="175" t="str">
        <f>REPT("█",ROUND(IFERROR('📄 Research Hub'!D4,0)*20,0))&amp;REPT("░",20-ROUND(IFERROR('📄 Research Hub'!D4,0)*20,0))&amp;"  "&amp;TEXT(IFERROR('📄 Research Hub'!D4,0),"0%")</f>
        <v>████████████████░░░░  80%</v>
      </c>
      <c r="S15" s="175"/>
      <c r="T15" s="175"/>
      <c r="U15" s="3"/>
      <c r="V15" s="43" t="s">
        <v>18</v>
      </c>
      <c r="W15" s="11" t="s">
        <v>61</v>
      </c>
      <c r="X15" s="13" t="s">
        <v>62</v>
      </c>
    </row>
    <row r="16" spans="1:26" ht="21.75" customHeight="1" x14ac:dyDescent="0.25">
      <c r="A16" s="2"/>
      <c r="B16" s="2"/>
      <c r="C16" s="47" t="s">
        <v>63</v>
      </c>
      <c r="D16" s="48" t="s">
        <v>35</v>
      </c>
      <c r="E16" s="171" t="str">
        <f>REPT("█",ROUND(IFERROR('📅 Timetable'!O9,0)*10,0))&amp;REPT("░",10-ROUND(IFERROR('📅 Timetable'!O9,0)*10,0))&amp;"  "&amp;TEXT(IFERROR('📅 Timetable'!O9,0),"0%")</f>
        <v>░░░░░░░░░░  0%</v>
      </c>
      <c r="F16" s="171"/>
      <c r="G16" s="3"/>
      <c r="H16" s="176" t="str">
        <f>CONCATENATE("SESSIONS: ",IFERROR(SUM('📅 Timetable'!M6:M11),0)," attended of 126")</f>
        <v>SESSIONS: 12 attended of 126</v>
      </c>
      <c r="I16" s="176"/>
      <c r="J16" s="176"/>
      <c r="K16" s="176"/>
      <c r="L16" s="3"/>
      <c r="M16" s="40" t="s">
        <v>64</v>
      </c>
      <c r="N16" s="41" t="s">
        <v>65</v>
      </c>
      <c r="O16" s="165" t="s">
        <v>66</v>
      </c>
      <c r="P16" s="165"/>
      <c r="Q16" s="3"/>
      <c r="R16" s="177" t="s">
        <v>67</v>
      </c>
      <c r="S16" s="177"/>
      <c r="T16" s="177"/>
      <c r="U16" s="3"/>
      <c r="V16" s="12" t="s">
        <v>18</v>
      </c>
      <c r="W16" s="19" t="s">
        <v>68</v>
      </c>
      <c r="X16" s="23" t="s">
        <v>69</v>
      </c>
    </row>
    <row r="17" spans="1:25" ht="19.5" customHeight="1" x14ac:dyDescent="0.25">
      <c r="A17" s="2"/>
      <c r="B17" s="2"/>
      <c r="C17" s="50" t="s">
        <v>70</v>
      </c>
      <c r="D17" s="51" t="s">
        <v>71</v>
      </c>
      <c r="E17" s="173" t="str">
        <f>REPT("█",ROUND(IFERROR('📅 Timetable'!O10,0)*10,0))&amp;REPT("░",10-ROUND(IFERROR('📅 Timetable'!O10,0)*10,0))&amp;"  "&amp;TEXT(IFERROR('📅 Timetable'!O10,0),"0%")</f>
        <v>░░░░░░░░░░  0%</v>
      </c>
      <c r="F17" s="173"/>
      <c r="G17" s="3"/>
      <c r="H17" s="170" t="s">
        <v>72</v>
      </c>
      <c r="I17" s="170"/>
      <c r="J17" s="170"/>
      <c r="K17" s="170"/>
      <c r="L17" s="3"/>
      <c r="M17" s="40" t="s">
        <v>73</v>
      </c>
      <c r="N17" s="41" t="s">
        <v>74</v>
      </c>
      <c r="O17" s="165" t="s">
        <v>75</v>
      </c>
      <c r="P17" s="165"/>
      <c r="Q17" s="3"/>
      <c r="R17" s="20" t="s">
        <v>24</v>
      </c>
      <c r="S17" s="172" t="s">
        <v>76</v>
      </c>
      <c r="T17" s="172"/>
      <c r="U17" s="3"/>
      <c r="V17" s="2"/>
      <c r="W17" s="2"/>
      <c r="X17" s="2"/>
    </row>
    <row r="18" spans="1:25" ht="19.5" customHeight="1" x14ac:dyDescent="0.25">
      <c r="A18" s="2"/>
      <c r="B18" s="2"/>
      <c r="C18" s="53" t="s">
        <v>77</v>
      </c>
      <c r="D18" s="54" t="s">
        <v>50</v>
      </c>
      <c r="E18" s="174" t="str">
        <f>REPT("█",ROUND(IFERROR('📅 Timetable'!O11,0)*10,0))&amp;REPT("░",10-ROUND(IFERROR('📅 Timetable'!O11,0)*10,0))&amp;"  "&amp;TEXT(IFERROR('📅 Timetable'!O11,0),"0%")</f>
        <v>██░░░░░░░░  19%</v>
      </c>
      <c r="F18" s="174"/>
      <c r="G18" s="3"/>
      <c r="H18" s="56" t="s">
        <v>78</v>
      </c>
      <c r="I18" s="173" t="str">
        <f>REPT("█",ROUND(IFERROR('📄 Research Hub'!D4,0)*14,0))&amp;REPT("░",14-ROUND(IFERROR('📄 Research Hub'!D4,0)*14,0))&amp;"  "&amp;TEXT(IFERROR('📄 Research Hub'!D4,0),"0%")</f>
        <v>███████████░░░  80%</v>
      </c>
      <c r="J18" s="173"/>
      <c r="K18" s="57" t="str">
        <f>IF(IFERROR('📄 Research Hub'!D4,0)=1,"✅ SUBMITTED",IF(IFERROR('📄 Research Hub'!D4,0)&gt;0,"✍ Writing","🔒 Planned"))</f>
        <v>✍ Writing</v>
      </c>
      <c r="L18" s="3"/>
      <c r="M18" s="40" t="s">
        <v>79</v>
      </c>
      <c r="N18" s="41" t="s">
        <v>80</v>
      </c>
      <c r="O18" s="165" t="s">
        <v>81</v>
      </c>
      <c r="P18" s="165"/>
      <c r="Q18" s="3"/>
      <c r="R18" s="25" t="s">
        <v>82</v>
      </c>
      <c r="S18" s="166" t="s">
        <v>83</v>
      </c>
      <c r="T18" s="166"/>
      <c r="U18" s="3"/>
      <c r="V18" s="170" t="s">
        <v>84</v>
      </c>
      <c r="W18" s="170"/>
      <c r="X18" s="170"/>
    </row>
    <row r="19" spans="1:25" ht="21.75" customHeight="1" x14ac:dyDescent="0.25">
      <c r="A19" s="2"/>
      <c r="B19" s="2"/>
      <c r="C19" s="2"/>
      <c r="D19" s="2"/>
      <c r="E19" s="2"/>
      <c r="F19" s="2"/>
      <c r="G19" s="3"/>
      <c r="H19" s="58" t="s">
        <v>85</v>
      </c>
      <c r="I19" s="171" t="str">
        <f>REPT("█",ROUND(IFERROR('📄 Research Hub'!J4,0)*14,0))&amp;REPT("░",14-ROUND(IFERROR('📄 Research Hub'!J4,0)*14,0))&amp;"  "&amp;TEXT(IFERROR('📄 Research Hub'!J4,0),"0%")</f>
        <v>░░░░░░░░░░░░░░  0%</v>
      </c>
      <c r="J19" s="171"/>
      <c r="K19" s="57" t="str">
        <f>IF(IFERROR('📄 Research Hub'!J4,0)=1,"✅ SUBMITTED",IF(IFERROR('📄 Research Hub'!J4,0)&gt;0,"✍ Writing","🔒 Planned"))</f>
        <v>🔒 Planned</v>
      </c>
      <c r="L19" s="3"/>
      <c r="M19" s="40" t="s">
        <v>86</v>
      </c>
      <c r="N19" s="41" t="s">
        <v>87</v>
      </c>
      <c r="O19" s="165" t="s">
        <v>88</v>
      </c>
      <c r="P19" s="165"/>
      <c r="Q19" s="3"/>
      <c r="R19" s="20" t="s">
        <v>89</v>
      </c>
      <c r="S19" s="172" t="s">
        <v>90</v>
      </c>
      <c r="T19" s="172"/>
      <c r="U19" s="3"/>
      <c r="V19" s="59" t="s">
        <v>91</v>
      </c>
      <c r="W19" s="169" t="s">
        <v>92</v>
      </c>
      <c r="X19" s="169"/>
    </row>
    <row r="20" spans="1:25" ht="21.75" customHeight="1" x14ac:dyDescent="0.25">
      <c r="A20" s="2"/>
      <c r="B20" s="2"/>
      <c r="C20" s="164" t="str">
        <f>CONCATENATE("TOTAL: ",IFERROR(SUM('📅 Timetable'!L15:Q30),0)," sessions attended")</f>
        <v>TOTAL: 12 sessions attended</v>
      </c>
      <c r="D20" s="164"/>
      <c r="E20" s="164"/>
      <c r="F20" s="164"/>
      <c r="G20" s="3"/>
      <c r="H20" s="2"/>
      <c r="I20" s="2"/>
      <c r="J20" s="2"/>
      <c r="K20" s="2"/>
      <c r="L20" s="3"/>
      <c r="M20" s="40" t="s">
        <v>93</v>
      </c>
      <c r="N20" s="41" t="s">
        <v>94</v>
      </c>
      <c r="O20" s="165" t="s">
        <v>95</v>
      </c>
      <c r="P20" s="165"/>
      <c r="Q20" s="3"/>
      <c r="R20" s="25" t="s">
        <v>96</v>
      </c>
      <c r="S20" s="166" t="s">
        <v>97</v>
      </c>
      <c r="T20" s="166"/>
      <c r="U20" s="3"/>
      <c r="V20" s="60" t="s">
        <v>98</v>
      </c>
      <c r="W20" s="167" t="s">
        <v>99</v>
      </c>
      <c r="X20" s="167"/>
    </row>
    <row r="21" spans="1:25" ht="21.75" customHeight="1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  <c r="L21" s="3"/>
      <c r="M21" s="40" t="s">
        <v>100</v>
      </c>
      <c r="N21" s="41" t="s">
        <v>101</v>
      </c>
      <c r="O21" s="165" t="s">
        <v>102</v>
      </c>
      <c r="P21" s="165"/>
      <c r="Q21" s="3"/>
      <c r="R21" s="168" t="str">
        <f>REPT("█",ROUND(IFERROR('📄 Research Hub'!J4,0)*20,0))&amp;REPT("░",20-ROUND(IFERROR('📄 Research Hub'!J4,0)*20,0))&amp;"  "&amp;TEXT(IFERROR('📄 Research Hub'!J4,0),"0%")</f>
        <v>░░░░░░░░░░░░░░░░░░░░  0%</v>
      </c>
      <c r="S21" s="168"/>
      <c r="T21" s="168"/>
      <c r="U21" s="3"/>
      <c r="V21" s="59" t="s">
        <v>103</v>
      </c>
      <c r="W21" s="169" t="s">
        <v>104</v>
      </c>
      <c r="X21" s="169"/>
    </row>
    <row r="22" spans="1:25" ht="7.5" customHeight="1" x14ac:dyDescent="0.25">
      <c r="A22" s="6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62"/>
    </row>
    <row r="23" spans="1:25" ht="21.75" customHeight="1" x14ac:dyDescent="0.25">
      <c r="A23" s="162" t="s">
        <v>105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</row>
    <row r="24" spans="1:25" ht="7.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5" ht="21.75" customHeight="1" x14ac:dyDescent="0.25">
      <c r="A25" s="163" t="s">
        <v>106</v>
      </c>
      <c r="B25" s="163"/>
      <c r="C25" s="163"/>
      <c r="D25" s="163"/>
      <c r="E25" s="163" t="s">
        <v>107</v>
      </c>
      <c r="F25" s="163"/>
      <c r="G25" s="163"/>
      <c r="H25" s="163"/>
      <c r="I25" s="163" t="s">
        <v>108</v>
      </c>
      <c r="J25" s="163"/>
      <c r="K25" s="163"/>
      <c r="L25" s="163"/>
      <c r="M25" s="163" t="s">
        <v>109</v>
      </c>
      <c r="N25" s="163"/>
      <c r="O25" s="163"/>
      <c r="P25" s="163"/>
      <c r="Q25" s="163" t="s">
        <v>110</v>
      </c>
      <c r="R25" s="163"/>
      <c r="S25" s="163"/>
      <c r="T25" s="163"/>
      <c r="U25" s="163" t="s">
        <v>111</v>
      </c>
      <c r="V25" s="163"/>
      <c r="W25" s="163"/>
      <c r="X25" s="163"/>
    </row>
    <row r="26" spans="1:25" ht="39.75" customHeight="1" x14ac:dyDescent="0.25">
      <c r="A26" s="157">
        <f>IFERROR('💰 Finance'!D5,0)</f>
        <v>1241.2400000000002</v>
      </c>
      <c r="B26" s="157"/>
      <c r="C26" s="157"/>
      <c r="D26" s="157"/>
      <c r="E26" s="158">
        <f>IFERROR('💰 Finance'!E5,0)</f>
        <v>0</v>
      </c>
      <c r="F26" s="158"/>
      <c r="G26" s="158"/>
      <c r="H26" s="158"/>
      <c r="I26" s="159">
        <f>IFERROR('💰 Finance'!G5,0)</f>
        <v>137.91555555555558</v>
      </c>
      <c r="J26" s="159"/>
      <c r="K26" s="159"/>
      <c r="L26" s="159"/>
      <c r="M26" s="160">
        <f>IFERROR('💰 Finance'!D3,0)</f>
        <v>0</v>
      </c>
      <c r="N26" s="160"/>
      <c r="O26" s="160"/>
      <c r="P26" s="160"/>
      <c r="Q26" s="161" t="str">
        <f>IF(IFERROR('💰 Finance'!D5,0)/4500&gt;0.9,"🚨 CRITICAL",IF(IFERROR('💰 Finance'!D5,0)/4500&gt;0.75,"⚠️  HIGH SPEND",IF(IFERROR('💰 Finance'!D5,0)/4500&gt;0.6,"📊 CAUTION",IF(IFERROR('💰 Finance'!D5,0)/4500&gt;0.3,"✅ ON TRACK","💰 EXCELLENT"))))</f>
        <v>💰 EXCELLENT</v>
      </c>
      <c r="R26" s="161"/>
      <c r="S26" s="161"/>
      <c r="T26" s="161"/>
      <c r="U26" s="152">
        <f>MAX(0,4500-IFERROR('💰 Finance'!D5,0))</f>
        <v>3258.7599999999998</v>
      </c>
      <c r="V26" s="152"/>
      <c r="W26" s="152"/>
      <c r="X26" s="152"/>
    </row>
    <row r="27" spans="1:25" ht="27.75" customHeight="1" x14ac:dyDescent="0.25">
      <c r="A27" s="153" t="str">
        <f>"SPENT: "&amp; REPT("█",ROUND(IFERROR('💰 Finance'!D5/4500,0)*22,0))&amp;REPT("░",22-ROUND(IFERROR('💰 Finance'!D5/4500,0)*22,0))&amp;"  "&amp;TEXT(IFERROR('💰 Finance'!D5/4500,0),"0%")</f>
        <v>SPENT: ██████░░░░░░░░░░░░░░░░  28%</v>
      </c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4" t="str">
        <f>"SAVED: "&amp;REPT("█",ROUND(IFERROR(1-'💰 Finance'!D5/4500,0)*22,0))&amp;REPT("░",22-ROUND(IFERROR(1-'💰 Finance'!D5/4500,0)*22,0))&amp;"  "&amp;TEXT(IFERROR(1-'💰 Finance'!D5/4500,0),"0%")</f>
        <v>SAVED: ████████████████░░░░░░  72%</v>
      </c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</row>
    <row r="28" spans="1:25" ht="25.5" customHeight="1" x14ac:dyDescent="0.25">
      <c r="A28" s="155" t="str">
        <f>CONCATENATE("TOTAL BUDGET: ¥4,500  |  STIPEND: ¥3,000  |  FIRST-YEAR BONUS: ¥1,500  |  ","SPENT: ¥",TEXT(IFERROR('💰 Finance'!D5,0),"#,##0.00"),"  |  REMAINING: ¥",TEXT(MAX(0,4500-IFERROR('💰 Finance'!D5,0)),"#,##0.00"),"  |  SAVINGS TARGET: ¥1,350 (30%)")</f>
        <v>TOTAL BUDGET: ¥4,500  |  STIPEND: ¥3,000  |  FIRST-YEAR BONUS: ¥1,500  |  SPENT: ¥1,241.24  |  REMAINING: ¥3,258.76  |  SAVINGS TARGET: ¥1,350 (30%)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</row>
    <row r="29" spans="1:25" ht="7.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5" ht="30" customHeight="1" x14ac:dyDescent="0.25">
      <c r="A30" s="156" t="s">
        <v>112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</row>
    <row r="31" spans="1:25" ht="6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mergeCells count="67">
    <mergeCell ref="A2:X2"/>
    <mergeCell ref="A4:X4"/>
    <mergeCell ref="C6:F6"/>
    <mergeCell ref="H6:K6"/>
    <mergeCell ref="M6:P6"/>
    <mergeCell ref="R6:T6"/>
    <mergeCell ref="V6:X6"/>
    <mergeCell ref="C8:F8"/>
    <mergeCell ref="M8:P8"/>
    <mergeCell ref="R8:T8"/>
    <mergeCell ref="V8:X8"/>
    <mergeCell ref="C9:F9"/>
    <mergeCell ref="O9:P9"/>
    <mergeCell ref="R9:T9"/>
    <mergeCell ref="C10:F10"/>
    <mergeCell ref="O10:P10"/>
    <mergeCell ref="O11:P11"/>
    <mergeCell ref="C12:F12"/>
    <mergeCell ref="O12:P12"/>
    <mergeCell ref="E13:F13"/>
    <mergeCell ref="O13:P13"/>
    <mergeCell ref="E14:F14"/>
    <mergeCell ref="O14:P14"/>
    <mergeCell ref="E15:F15"/>
    <mergeCell ref="O15:P15"/>
    <mergeCell ref="R15:T15"/>
    <mergeCell ref="E16:F16"/>
    <mergeCell ref="H16:K16"/>
    <mergeCell ref="O16:P16"/>
    <mergeCell ref="R16:T16"/>
    <mergeCell ref="E17:F17"/>
    <mergeCell ref="H17:K17"/>
    <mergeCell ref="O17:P17"/>
    <mergeCell ref="S17:T17"/>
    <mergeCell ref="E18:F18"/>
    <mergeCell ref="I18:J18"/>
    <mergeCell ref="O18:P18"/>
    <mergeCell ref="S18:T18"/>
    <mergeCell ref="V18:X18"/>
    <mergeCell ref="I19:J19"/>
    <mergeCell ref="O19:P19"/>
    <mergeCell ref="S19:T19"/>
    <mergeCell ref="W19:X19"/>
    <mergeCell ref="C20:F20"/>
    <mergeCell ref="O20:P20"/>
    <mergeCell ref="S20:T20"/>
    <mergeCell ref="W20:X20"/>
    <mergeCell ref="O21:P21"/>
    <mergeCell ref="R21:T21"/>
    <mergeCell ref="W21:X21"/>
    <mergeCell ref="A23:X23"/>
    <mergeCell ref="A25:D25"/>
    <mergeCell ref="E25:H25"/>
    <mergeCell ref="I25:L25"/>
    <mergeCell ref="M25:P25"/>
    <mergeCell ref="Q25:T25"/>
    <mergeCell ref="U25:X25"/>
    <mergeCell ref="U26:X26"/>
    <mergeCell ref="A27:K27"/>
    <mergeCell ref="L27:X27"/>
    <mergeCell ref="A28:X28"/>
    <mergeCell ref="A30:X30"/>
    <mergeCell ref="A26:D26"/>
    <mergeCell ref="E26:H26"/>
    <mergeCell ref="I26:L26"/>
    <mergeCell ref="M26:P26"/>
    <mergeCell ref="Q26:T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B8C"/>
  </sheetPr>
  <dimension ref="A1:R60"/>
  <sheetViews>
    <sheetView showGridLines="0" zoomScaleNormal="10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O20" sqref="O20"/>
    </sheetView>
  </sheetViews>
  <sheetFormatPr defaultColWidth="8.7109375" defaultRowHeight="15" x14ac:dyDescent="0.25"/>
  <cols>
    <col min="1" max="1" width="10" customWidth="1"/>
    <col min="2" max="2" width="11" customWidth="1"/>
    <col min="3" max="9" width="22" customWidth="1"/>
    <col min="10" max="10" width="2" customWidth="1"/>
    <col min="11" max="18" width="15" customWidth="1"/>
  </cols>
  <sheetData>
    <row r="1" spans="1:18" ht="45.75" customHeight="1" x14ac:dyDescent="0.25">
      <c r="A1" s="201" t="s">
        <v>113</v>
      </c>
      <c r="B1" s="201"/>
      <c r="C1" s="201"/>
      <c r="D1" s="201"/>
      <c r="E1" s="201"/>
      <c r="F1" s="201"/>
      <c r="G1" s="201"/>
      <c r="H1" s="201"/>
      <c r="I1" s="201"/>
      <c r="J1" s="63"/>
      <c r="K1" s="202" t="s">
        <v>114</v>
      </c>
      <c r="L1" s="202"/>
      <c r="M1" s="202"/>
      <c r="N1" s="202"/>
      <c r="O1" s="202"/>
      <c r="P1" s="202"/>
      <c r="Q1" s="202"/>
      <c r="R1" s="202"/>
    </row>
    <row r="2" spans="1:18" ht="25.5" customHeight="1" x14ac:dyDescent="0.25">
      <c r="A2" s="196" t="s">
        <v>115</v>
      </c>
      <c r="B2" s="196"/>
      <c r="C2" s="196"/>
      <c r="D2" s="196"/>
      <c r="E2" s="196" t="s">
        <v>116</v>
      </c>
      <c r="F2" s="196"/>
      <c r="G2" s="196"/>
      <c r="H2" s="196"/>
      <c r="I2" s="196"/>
      <c r="J2" s="63"/>
      <c r="K2" s="203" t="s">
        <v>117</v>
      </c>
      <c r="L2" s="203"/>
      <c r="M2" s="203"/>
      <c r="N2" s="203"/>
      <c r="O2" s="203"/>
      <c r="P2" s="203"/>
      <c r="Q2" s="203"/>
      <c r="R2" s="203"/>
    </row>
    <row r="3" spans="1:18" ht="25.5" customHeight="1" x14ac:dyDescent="0.25">
      <c r="A3" s="196" t="s">
        <v>118</v>
      </c>
      <c r="B3" s="196"/>
      <c r="C3" s="196"/>
      <c r="D3" s="196"/>
      <c r="E3" s="196"/>
      <c r="F3" s="196"/>
      <c r="G3" s="196"/>
      <c r="H3" s="196"/>
      <c r="I3" s="196"/>
      <c r="J3" s="63"/>
      <c r="K3" s="197" t="s">
        <v>119</v>
      </c>
      <c r="L3" s="197"/>
      <c r="M3" s="198">
        <f>IFERROR(AVERAGE(O6:O11),0)</f>
        <v>0.10312500000000001</v>
      </c>
      <c r="N3" s="198"/>
      <c r="O3" s="199" t="str">
        <f>REPT("█",ROUND(IFERROR(AVERAGE(O6:O11),0)*20,0))&amp;REPT("░",20-ROUND(IFERROR(AVERAGE(O6:O11),0)*20,0))</f>
        <v>██░░░░░░░░░░░░░░░░░░</v>
      </c>
      <c r="P3" s="199"/>
      <c r="Q3" s="199"/>
      <c r="R3" s="199"/>
    </row>
    <row r="4" spans="1:18" ht="25.5" customHeight="1" x14ac:dyDescent="0.25">
      <c r="A4" s="196" t="s">
        <v>120</v>
      </c>
      <c r="B4" s="196"/>
      <c r="C4" s="196"/>
      <c r="D4" s="196"/>
      <c r="E4" s="196"/>
      <c r="F4" s="196"/>
      <c r="G4" s="196"/>
      <c r="H4" s="196"/>
      <c r="I4" s="196"/>
      <c r="J4" s="63"/>
      <c r="K4" s="200" t="str">
        <f>IF(IFERROR(AVERAGE(O6:O11),0)=1,"🏆 ALL COURSES COMPLETE — MISSION ACCOMPLISHED",IF(IFERROR(AVERAGE(O6:O11),0)&gt;=0.75,"⚡ STRONG PROGRESS — KEEP PUSHING",IF(IFERROR(AVERAGE(O6:O11),0)&gt;=0.5,"📈 HALFWAY THERE — MAINTAIN MOMENTUM",IF(IFERROR(AVERAGE(O6:O11),0)&gt;0,"🎯 IN PROGRESS — STAY FOCUSED","📌 SEMESTER NOT YET STARTED"))))</f>
        <v>🎯 IN PROGRESS — STAY FOCUSED</v>
      </c>
      <c r="L4" s="200"/>
      <c r="M4" s="200"/>
      <c r="N4" s="200"/>
      <c r="O4" s="200"/>
      <c r="P4" s="200"/>
      <c r="Q4" s="200"/>
      <c r="R4" s="200"/>
    </row>
    <row r="5" spans="1:18" ht="13.5" customHeight="1" x14ac:dyDescent="0.25">
      <c r="A5" s="194" t="s">
        <v>121</v>
      </c>
      <c r="B5" s="194"/>
      <c r="C5" s="194"/>
      <c r="D5" s="194"/>
      <c r="E5" s="194"/>
      <c r="F5" s="194"/>
      <c r="G5" s="194"/>
      <c r="H5" s="194"/>
      <c r="I5" s="194"/>
      <c r="J5" s="63"/>
      <c r="K5" s="5" t="s">
        <v>122</v>
      </c>
      <c r="L5" s="5" t="s">
        <v>7</v>
      </c>
      <c r="M5" s="5" t="s">
        <v>123</v>
      </c>
      <c r="N5" s="5" t="s">
        <v>9</v>
      </c>
      <c r="O5" s="5" t="s">
        <v>124</v>
      </c>
      <c r="P5" s="5" t="s">
        <v>125</v>
      </c>
      <c r="Q5" s="5" t="s">
        <v>10</v>
      </c>
      <c r="R5" s="5" t="s">
        <v>126</v>
      </c>
    </row>
    <row r="6" spans="1:18" ht="24" customHeight="1" x14ac:dyDescent="0.25">
      <c r="A6" s="64" t="s">
        <v>41</v>
      </c>
      <c r="B6" s="195" t="s">
        <v>127</v>
      </c>
      <c r="C6" s="195"/>
      <c r="D6" s="65" t="s">
        <v>58</v>
      </c>
      <c r="E6" s="195" t="s">
        <v>128</v>
      </c>
      <c r="F6" s="195"/>
      <c r="G6" s="66" t="s">
        <v>70</v>
      </c>
      <c r="H6" s="195" t="s">
        <v>129</v>
      </c>
      <c r="I6" s="195"/>
      <c r="J6" s="63"/>
      <c r="K6" s="31" t="s">
        <v>41</v>
      </c>
      <c r="L6" s="67" t="s">
        <v>130</v>
      </c>
      <c r="M6" s="68">
        <f>SUM(L15:L28)</f>
        <v>3</v>
      </c>
      <c r="N6" s="69">
        <v>32</v>
      </c>
      <c r="O6" s="70">
        <f t="shared" ref="O6:O11" si="0">IFERROR(M6/N6,0)</f>
        <v>9.375E-2</v>
      </c>
      <c r="P6" s="33" t="str">
        <f t="shared" ref="P6:P11" si="1">REPT("█",ROUND(O6*15,0))&amp;REPT("░",15-ROUND(O6*15,0))</f>
        <v>█░░░░░░░░░░░░░░</v>
      </c>
      <c r="Q6" s="57" t="str">
        <f t="shared" ref="Q6:Q11" si="2">IF(O6=1,"✅ COMPLETE",IF(O6&gt;0,"⏳ In Progress","🔒 Pending"))</f>
        <v>⏳ In Progress</v>
      </c>
      <c r="R6" s="71" t="s">
        <v>131</v>
      </c>
    </row>
    <row r="7" spans="1:18" ht="24" customHeight="1" x14ac:dyDescent="0.25">
      <c r="A7" s="72" t="s">
        <v>49</v>
      </c>
      <c r="B7" s="195" t="s">
        <v>132</v>
      </c>
      <c r="C7" s="195"/>
      <c r="D7" s="73" t="s">
        <v>63</v>
      </c>
      <c r="E7" s="195" t="s">
        <v>133</v>
      </c>
      <c r="F7" s="195"/>
      <c r="G7" s="74" t="s">
        <v>77</v>
      </c>
      <c r="H7" s="195" t="s">
        <v>134</v>
      </c>
      <c r="I7" s="195"/>
      <c r="J7" s="63"/>
      <c r="K7" s="36" t="s">
        <v>49</v>
      </c>
      <c r="L7" s="67" t="s">
        <v>21</v>
      </c>
      <c r="M7" s="68">
        <f>SUM(M15:M28)</f>
        <v>3</v>
      </c>
      <c r="N7" s="69">
        <v>16</v>
      </c>
      <c r="O7" s="70">
        <f t="shared" si="0"/>
        <v>0.1875</v>
      </c>
      <c r="P7" s="38" t="str">
        <f t="shared" si="1"/>
        <v>███░░░░░░░░░░░░</v>
      </c>
      <c r="Q7" s="57" t="str">
        <f t="shared" si="2"/>
        <v>⏳ In Progress</v>
      </c>
      <c r="R7" s="71" t="s">
        <v>135</v>
      </c>
    </row>
    <row r="8" spans="1:18" ht="24" customHeight="1" x14ac:dyDescent="0.25">
      <c r="A8" s="75" t="s">
        <v>136</v>
      </c>
      <c r="B8" s="75" t="s">
        <v>137</v>
      </c>
      <c r="C8" s="76" t="s">
        <v>138</v>
      </c>
      <c r="D8" s="76" t="s">
        <v>139</v>
      </c>
      <c r="E8" s="76" t="s">
        <v>140</v>
      </c>
      <c r="F8" s="76" t="s">
        <v>141</v>
      </c>
      <c r="G8" s="76" t="s">
        <v>142</v>
      </c>
      <c r="H8" s="76" t="s">
        <v>143</v>
      </c>
      <c r="I8" s="76" t="s">
        <v>144</v>
      </c>
      <c r="J8" s="63"/>
      <c r="K8" s="44" t="s">
        <v>58</v>
      </c>
      <c r="L8" s="67" t="s">
        <v>28</v>
      </c>
      <c r="M8" s="68">
        <f>SUM(N15:N28)</f>
        <v>3</v>
      </c>
      <c r="N8" s="69">
        <v>20</v>
      </c>
      <c r="O8" s="70">
        <f t="shared" si="0"/>
        <v>0.15</v>
      </c>
      <c r="P8" s="46" t="str">
        <f t="shared" si="1"/>
        <v>██░░░░░░░░░░░░░</v>
      </c>
      <c r="Q8" s="57" t="str">
        <f t="shared" si="2"/>
        <v>⏳ In Progress</v>
      </c>
      <c r="R8" s="71" t="s">
        <v>135</v>
      </c>
    </row>
    <row r="9" spans="1:18" ht="24" customHeight="1" x14ac:dyDescent="0.25">
      <c r="A9" s="77" t="s">
        <v>145</v>
      </c>
      <c r="B9" s="78" t="s">
        <v>146</v>
      </c>
      <c r="C9" s="79" t="s">
        <v>147</v>
      </c>
      <c r="D9" s="2"/>
      <c r="E9" s="79" t="s">
        <v>147</v>
      </c>
      <c r="F9" s="2"/>
      <c r="G9" s="2"/>
      <c r="H9" s="80" t="s">
        <v>148</v>
      </c>
      <c r="I9" s="80" t="s">
        <v>148</v>
      </c>
      <c r="J9" s="63"/>
      <c r="K9" s="47" t="s">
        <v>63</v>
      </c>
      <c r="L9" s="67" t="s">
        <v>35</v>
      </c>
      <c r="M9" s="68">
        <f>SUM(O15:O28)</f>
        <v>0</v>
      </c>
      <c r="N9" s="69">
        <v>24</v>
      </c>
      <c r="O9" s="70">
        <f t="shared" si="0"/>
        <v>0</v>
      </c>
      <c r="P9" s="49" t="str">
        <f t="shared" si="1"/>
        <v>░░░░░░░░░░░░░░░</v>
      </c>
      <c r="Q9" s="57" t="str">
        <f t="shared" si="2"/>
        <v>🔒 Pending</v>
      </c>
      <c r="R9" s="71" t="s">
        <v>149</v>
      </c>
    </row>
    <row r="10" spans="1:18" ht="24" customHeight="1" x14ac:dyDescent="0.25">
      <c r="A10" s="77" t="s">
        <v>150</v>
      </c>
      <c r="B10" s="78" t="s">
        <v>151</v>
      </c>
      <c r="C10" s="79" t="s">
        <v>147</v>
      </c>
      <c r="D10" s="27"/>
      <c r="E10" s="79" t="s">
        <v>147</v>
      </c>
      <c r="F10" s="27"/>
      <c r="G10" s="27"/>
      <c r="H10" s="80" t="s">
        <v>148</v>
      </c>
      <c r="I10" s="80" t="s">
        <v>148</v>
      </c>
      <c r="J10" s="63"/>
      <c r="K10" s="50" t="s">
        <v>70</v>
      </c>
      <c r="L10" s="67" t="s">
        <v>71</v>
      </c>
      <c r="M10" s="68">
        <f>SUM(P15:P28)</f>
        <v>0</v>
      </c>
      <c r="N10" s="69">
        <v>18</v>
      </c>
      <c r="O10" s="70">
        <f t="shared" si="0"/>
        <v>0</v>
      </c>
      <c r="P10" s="52" t="str">
        <f t="shared" si="1"/>
        <v>░░░░░░░░░░░░░░░</v>
      </c>
      <c r="Q10" s="57" t="str">
        <f t="shared" si="2"/>
        <v>🔒 Pending</v>
      </c>
      <c r="R10" s="71" t="s">
        <v>152</v>
      </c>
    </row>
    <row r="11" spans="1:18" ht="24" customHeight="1" x14ac:dyDescent="0.25">
      <c r="A11" s="77" t="s">
        <v>153</v>
      </c>
      <c r="B11" s="78" t="s">
        <v>154</v>
      </c>
      <c r="C11" s="81" t="s">
        <v>155</v>
      </c>
      <c r="D11" s="2"/>
      <c r="E11" s="82" t="s">
        <v>156</v>
      </c>
      <c r="F11" s="82" t="s">
        <v>156</v>
      </c>
      <c r="G11" s="2"/>
      <c r="H11" s="80" t="s">
        <v>148</v>
      </c>
      <c r="I11" s="80" t="s">
        <v>148</v>
      </c>
      <c r="J11" s="63"/>
      <c r="K11" s="53" t="s">
        <v>77</v>
      </c>
      <c r="L11" s="67" t="s">
        <v>50</v>
      </c>
      <c r="M11" s="68">
        <f>SUM(Q15:Q28)</f>
        <v>3</v>
      </c>
      <c r="N11" s="69">
        <v>16</v>
      </c>
      <c r="O11" s="70">
        <f t="shared" si="0"/>
        <v>0.1875</v>
      </c>
      <c r="P11" s="55" t="str">
        <f t="shared" si="1"/>
        <v>███░░░░░░░░░░░░</v>
      </c>
      <c r="Q11" s="57" t="str">
        <f t="shared" si="2"/>
        <v>⏳ In Progress</v>
      </c>
      <c r="R11" s="71" t="s">
        <v>135</v>
      </c>
    </row>
    <row r="12" spans="1:18" ht="7.5" customHeight="1" x14ac:dyDescent="0.25">
      <c r="A12" s="77" t="s">
        <v>157</v>
      </c>
      <c r="B12" s="78" t="s">
        <v>158</v>
      </c>
      <c r="C12" s="81" t="s">
        <v>155</v>
      </c>
      <c r="D12" s="27"/>
      <c r="E12" s="82" t="s">
        <v>156</v>
      </c>
      <c r="F12" s="82" t="s">
        <v>156</v>
      </c>
      <c r="G12" s="27"/>
      <c r="H12" s="80" t="s">
        <v>148</v>
      </c>
      <c r="I12" s="80" t="s">
        <v>148</v>
      </c>
      <c r="J12" s="63"/>
      <c r="K12" s="63"/>
      <c r="L12" s="63"/>
      <c r="M12" s="63"/>
      <c r="N12" s="63"/>
      <c r="O12" s="63"/>
      <c r="P12" s="63"/>
      <c r="Q12" s="63"/>
      <c r="R12" s="63"/>
    </row>
    <row r="13" spans="1:18" ht="19.5" customHeight="1" x14ac:dyDescent="0.25">
      <c r="A13" s="77" t="s">
        <v>159</v>
      </c>
      <c r="B13" s="78" t="s">
        <v>160</v>
      </c>
      <c r="C13" s="2"/>
      <c r="D13" s="2"/>
      <c r="E13" s="2"/>
      <c r="F13" s="2"/>
      <c r="G13" s="2"/>
      <c r="H13" s="80" t="s">
        <v>148</v>
      </c>
      <c r="I13" s="80" t="s">
        <v>148</v>
      </c>
      <c r="J13" s="63"/>
      <c r="K13" s="191" t="s">
        <v>161</v>
      </c>
      <c r="L13" s="191"/>
      <c r="M13" s="191"/>
      <c r="N13" s="191"/>
      <c r="O13" s="191"/>
      <c r="P13" s="191"/>
      <c r="Q13" s="191"/>
      <c r="R13" s="191"/>
    </row>
    <row r="14" spans="1:18" ht="18" customHeight="1" x14ac:dyDescent="0.25">
      <c r="A14" s="77" t="s">
        <v>162</v>
      </c>
      <c r="B14" s="78" t="s">
        <v>163</v>
      </c>
      <c r="C14" s="27"/>
      <c r="D14" s="27"/>
      <c r="E14" s="80" t="s">
        <v>164</v>
      </c>
      <c r="F14" s="27"/>
      <c r="G14" s="27"/>
      <c r="H14" s="27"/>
      <c r="I14" s="27"/>
      <c r="J14" s="63"/>
      <c r="K14" s="83" t="s">
        <v>165</v>
      </c>
      <c r="L14" s="84" t="s">
        <v>166</v>
      </c>
      <c r="M14" s="85" t="s">
        <v>167</v>
      </c>
      <c r="N14" s="86" t="s">
        <v>168</v>
      </c>
      <c r="O14" s="87" t="s">
        <v>169</v>
      </c>
      <c r="P14" s="88" t="s">
        <v>170</v>
      </c>
      <c r="Q14" s="89" t="s">
        <v>171</v>
      </c>
      <c r="R14" s="83" t="s">
        <v>172</v>
      </c>
    </row>
    <row r="15" spans="1:18" ht="19.5" customHeight="1" x14ac:dyDescent="0.25">
      <c r="A15" s="77" t="s">
        <v>173</v>
      </c>
      <c r="B15" s="78" t="s">
        <v>174</v>
      </c>
      <c r="C15" s="2"/>
      <c r="D15" s="2"/>
      <c r="E15" s="80" t="s">
        <v>164</v>
      </c>
      <c r="F15" s="2"/>
      <c r="G15" s="2"/>
      <c r="H15" s="2"/>
      <c r="I15" s="2"/>
      <c r="J15" s="63"/>
      <c r="K15" s="90" t="s">
        <v>175</v>
      </c>
      <c r="L15" s="91">
        <v>1</v>
      </c>
      <c r="M15" s="91">
        <v>1</v>
      </c>
      <c r="N15" s="91">
        <v>1</v>
      </c>
      <c r="O15" s="91">
        <v>0</v>
      </c>
      <c r="P15" s="91">
        <v>0</v>
      </c>
      <c r="Q15" s="91">
        <v>1</v>
      </c>
      <c r="R15" s="92">
        <f t="shared" ref="R15:R30" si="3">SUM(L15:Q15)</f>
        <v>4</v>
      </c>
    </row>
    <row r="16" spans="1:18" ht="19.5" customHeight="1" x14ac:dyDescent="0.25">
      <c r="A16" s="77" t="s">
        <v>176</v>
      </c>
      <c r="B16" s="78" t="s">
        <v>177</v>
      </c>
      <c r="C16" s="80" t="s">
        <v>164</v>
      </c>
      <c r="D16" s="27"/>
      <c r="E16" s="93" t="s">
        <v>178</v>
      </c>
      <c r="F16" s="93" t="s">
        <v>179</v>
      </c>
      <c r="G16" s="27"/>
      <c r="H16" s="27"/>
      <c r="I16" s="27"/>
      <c r="J16" s="63"/>
      <c r="K16" s="90" t="s">
        <v>180</v>
      </c>
      <c r="L16" s="94">
        <v>1</v>
      </c>
      <c r="M16" s="94">
        <v>1</v>
      </c>
      <c r="N16" s="94">
        <v>1</v>
      </c>
      <c r="O16" s="94">
        <v>0</v>
      </c>
      <c r="P16" s="94">
        <v>0</v>
      </c>
      <c r="Q16" s="94">
        <v>1</v>
      </c>
      <c r="R16" s="92">
        <f t="shared" si="3"/>
        <v>4</v>
      </c>
    </row>
    <row r="17" spans="1:18" ht="19.5" customHeight="1" x14ac:dyDescent="0.25">
      <c r="A17" s="77" t="s">
        <v>181</v>
      </c>
      <c r="B17" s="78" t="s">
        <v>182</v>
      </c>
      <c r="C17" s="80" t="s">
        <v>164</v>
      </c>
      <c r="D17" s="2"/>
      <c r="E17" s="93" t="s">
        <v>178</v>
      </c>
      <c r="F17" s="93" t="s">
        <v>179</v>
      </c>
      <c r="G17" s="2"/>
      <c r="H17" s="2"/>
      <c r="I17" s="2"/>
      <c r="J17" s="63"/>
      <c r="K17" s="90" t="s">
        <v>183</v>
      </c>
      <c r="L17" s="91">
        <v>1</v>
      </c>
      <c r="M17" s="91">
        <v>1</v>
      </c>
      <c r="N17" s="91">
        <v>1</v>
      </c>
      <c r="O17" s="91">
        <v>0</v>
      </c>
      <c r="P17" s="91">
        <v>0</v>
      </c>
      <c r="Q17" s="91">
        <v>1</v>
      </c>
      <c r="R17" s="92">
        <f t="shared" si="3"/>
        <v>4</v>
      </c>
    </row>
    <row r="18" spans="1:18" ht="19.5" customHeight="1" x14ac:dyDescent="0.25">
      <c r="A18" s="77" t="s">
        <v>184</v>
      </c>
      <c r="B18" s="78" t="s">
        <v>185</v>
      </c>
      <c r="C18" s="27"/>
      <c r="D18" s="27"/>
      <c r="E18" s="93" t="s">
        <v>178</v>
      </c>
      <c r="F18" s="93" t="s">
        <v>179</v>
      </c>
      <c r="G18" s="27"/>
      <c r="H18" s="27"/>
      <c r="I18" s="27"/>
      <c r="J18" s="63"/>
      <c r="K18" s="90" t="s">
        <v>186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2">
        <f t="shared" si="3"/>
        <v>0</v>
      </c>
    </row>
    <row r="19" spans="1:18" ht="19.5" customHeight="1" x14ac:dyDescent="0.25">
      <c r="A19" s="77" t="s">
        <v>187</v>
      </c>
      <c r="B19" s="78" t="s">
        <v>188</v>
      </c>
      <c r="C19" s="95" t="s">
        <v>189</v>
      </c>
      <c r="D19" s="95" t="s">
        <v>189</v>
      </c>
      <c r="E19" s="2"/>
      <c r="F19" s="2"/>
      <c r="G19" s="2"/>
      <c r="H19" s="2"/>
      <c r="I19" s="2"/>
      <c r="J19" s="63"/>
      <c r="K19" s="90" t="s">
        <v>190</v>
      </c>
      <c r="L19" s="91">
        <v>0</v>
      </c>
      <c r="M19" s="91">
        <v>0</v>
      </c>
      <c r="N19" s="91">
        <v>0</v>
      </c>
      <c r="O19" s="91">
        <v>0</v>
      </c>
      <c r="P19" s="91">
        <v>0</v>
      </c>
      <c r="Q19" s="91">
        <v>0</v>
      </c>
      <c r="R19" s="92">
        <f t="shared" si="3"/>
        <v>0</v>
      </c>
    </row>
    <row r="20" spans="1:18" ht="19.5" customHeight="1" x14ac:dyDescent="0.25">
      <c r="A20" s="77" t="s">
        <v>191</v>
      </c>
      <c r="B20" s="78" t="s">
        <v>192</v>
      </c>
      <c r="C20" s="95" t="s">
        <v>189</v>
      </c>
      <c r="D20" s="95" t="s">
        <v>189</v>
      </c>
      <c r="E20" s="27"/>
      <c r="F20" s="27"/>
      <c r="G20" s="27"/>
      <c r="H20" s="27"/>
      <c r="I20" s="27"/>
      <c r="J20" s="63"/>
      <c r="K20" s="90" t="s">
        <v>193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2">
        <f t="shared" si="3"/>
        <v>0</v>
      </c>
    </row>
    <row r="21" spans="1:18" ht="19.5" customHeight="1" x14ac:dyDescent="0.25">
      <c r="A21" s="77" t="s">
        <v>194</v>
      </c>
      <c r="B21" s="78" t="s">
        <v>195</v>
      </c>
      <c r="C21" s="2"/>
      <c r="D21" s="2"/>
      <c r="E21" s="2"/>
      <c r="F21" s="2"/>
      <c r="G21" s="2"/>
      <c r="H21" s="2"/>
      <c r="I21" s="2"/>
      <c r="J21" s="63"/>
      <c r="K21" s="90" t="s">
        <v>196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  <c r="Q21" s="91">
        <v>0</v>
      </c>
      <c r="R21" s="92">
        <f t="shared" si="3"/>
        <v>0</v>
      </c>
    </row>
    <row r="22" spans="1:18" ht="19.5" customHeight="1" x14ac:dyDescent="0.25">
      <c r="A22" s="77" t="s">
        <v>197</v>
      </c>
      <c r="B22" s="78" t="s">
        <v>198</v>
      </c>
      <c r="C22" s="27"/>
      <c r="D22" s="27"/>
      <c r="E22" s="27"/>
      <c r="F22" s="27"/>
      <c r="G22" s="27"/>
      <c r="H22" s="27"/>
      <c r="I22" s="27"/>
      <c r="J22" s="63"/>
      <c r="K22" s="90" t="s">
        <v>199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2">
        <f t="shared" si="3"/>
        <v>0</v>
      </c>
    </row>
    <row r="23" spans="1:18" ht="19.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3"/>
      <c r="K23" s="90" t="s">
        <v>200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0</v>
      </c>
      <c r="R23" s="92">
        <f t="shared" si="3"/>
        <v>0</v>
      </c>
    </row>
    <row r="24" spans="1:18" ht="19.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3"/>
      <c r="K24" s="90" t="s">
        <v>201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2">
        <f t="shared" si="3"/>
        <v>0</v>
      </c>
    </row>
    <row r="25" spans="1:18" ht="19.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3"/>
      <c r="K25" s="90" t="s">
        <v>202</v>
      </c>
      <c r="L25" s="91">
        <v>0</v>
      </c>
      <c r="M25" s="91">
        <v>0</v>
      </c>
      <c r="N25" s="91">
        <v>0</v>
      </c>
      <c r="O25" s="91">
        <v>0</v>
      </c>
      <c r="P25" s="91">
        <v>0</v>
      </c>
      <c r="Q25" s="91">
        <v>0</v>
      </c>
      <c r="R25" s="92">
        <f t="shared" si="3"/>
        <v>0</v>
      </c>
    </row>
    <row r="26" spans="1:18" ht="19.5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3"/>
      <c r="K26" s="90" t="s">
        <v>203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2">
        <f t="shared" si="3"/>
        <v>0</v>
      </c>
    </row>
    <row r="27" spans="1:18" ht="19.5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3"/>
      <c r="K27" s="90" t="s">
        <v>204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  <c r="Q27" s="91">
        <v>0</v>
      </c>
      <c r="R27" s="92">
        <f t="shared" si="3"/>
        <v>0</v>
      </c>
    </row>
    <row r="28" spans="1:18" ht="19.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3"/>
      <c r="K28" s="90" t="s">
        <v>205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2">
        <f t="shared" si="3"/>
        <v>0</v>
      </c>
    </row>
    <row r="29" spans="1:18" ht="19.5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3"/>
      <c r="K29" s="90" t="s">
        <v>206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  <c r="Q29" s="91">
        <v>0</v>
      </c>
      <c r="R29" s="92">
        <f t="shared" si="3"/>
        <v>0</v>
      </c>
    </row>
    <row r="30" spans="1:18" ht="19.5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3"/>
      <c r="K30" s="90" t="s">
        <v>207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2">
        <f t="shared" si="3"/>
        <v>0</v>
      </c>
    </row>
    <row r="31" spans="1:18" ht="24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3"/>
      <c r="K31" s="192" t="str">
        <f>CONCATENATE("TOTAL ATTENDED: ",SUM(L15:Q30)," / 126 sessions")</f>
        <v>TOTAL ATTENDED: 12 / 126 sessions</v>
      </c>
      <c r="L31" s="192"/>
      <c r="M31" s="192"/>
      <c r="N31" s="192"/>
      <c r="O31" s="192"/>
      <c r="P31" s="192"/>
      <c r="Q31" s="192"/>
      <c r="R31" s="192"/>
    </row>
    <row r="32" spans="1:18" ht="1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3"/>
      <c r="K32" s="62"/>
      <c r="L32" s="62"/>
      <c r="M32" s="62"/>
      <c r="N32" s="62"/>
      <c r="O32" s="62"/>
      <c r="P32" s="62"/>
      <c r="Q32" s="62"/>
      <c r="R32" s="62"/>
    </row>
    <row r="33" spans="1:18" ht="30" customHeight="1" x14ac:dyDescent="0.25">
      <c r="A33" s="193" t="s">
        <v>208</v>
      </c>
      <c r="B33" s="193"/>
      <c r="C33" s="193"/>
      <c r="D33" s="193"/>
      <c r="E33" s="193"/>
      <c r="F33" s="193"/>
      <c r="G33" s="193"/>
      <c r="H33" s="193"/>
      <c r="I33" s="193"/>
      <c r="J33" s="63"/>
      <c r="K33" s="62"/>
      <c r="L33" s="62"/>
      <c r="M33" s="62"/>
      <c r="N33" s="62"/>
      <c r="O33" s="62"/>
      <c r="P33" s="62"/>
      <c r="Q33" s="62"/>
      <c r="R33" s="62"/>
    </row>
    <row r="34" spans="1:18" ht="15" customHeight="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3"/>
      <c r="K34" s="62"/>
      <c r="L34" s="62"/>
      <c r="M34" s="62"/>
      <c r="N34" s="62"/>
      <c r="O34" s="62"/>
      <c r="P34" s="62"/>
      <c r="Q34" s="62"/>
      <c r="R34" s="62"/>
    </row>
    <row r="35" spans="1:18" ht="1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3"/>
      <c r="K35" s="62"/>
      <c r="L35" s="62"/>
      <c r="M35" s="62"/>
      <c r="N35" s="62"/>
      <c r="O35" s="62"/>
      <c r="P35" s="62"/>
      <c r="Q35" s="62"/>
      <c r="R35" s="62"/>
    </row>
    <row r="36" spans="1:18" ht="15" customHeight="1" x14ac:dyDescent="0.25">
      <c r="A36" s="62"/>
      <c r="B36" s="62"/>
      <c r="C36" s="62"/>
      <c r="D36" s="62"/>
      <c r="E36" s="62"/>
      <c r="F36" s="62"/>
      <c r="G36" s="62"/>
      <c r="H36" s="62"/>
      <c r="I36" s="62"/>
      <c r="J36" s="63"/>
      <c r="K36" s="62"/>
      <c r="L36" s="62"/>
      <c r="M36" s="62"/>
      <c r="N36" s="62"/>
      <c r="O36" s="62"/>
      <c r="P36" s="62"/>
      <c r="Q36" s="62"/>
      <c r="R36" s="62"/>
    </row>
    <row r="37" spans="1:18" ht="15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3"/>
      <c r="K37" s="62"/>
      <c r="L37" s="62"/>
      <c r="M37" s="62"/>
      <c r="N37" s="62"/>
      <c r="O37" s="62"/>
      <c r="P37" s="62"/>
      <c r="Q37" s="62"/>
      <c r="R37" s="62"/>
    </row>
    <row r="38" spans="1:18" ht="15" customHeight="1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3"/>
      <c r="K38" s="62"/>
      <c r="L38" s="62"/>
      <c r="M38" s="62"/>
      <c r="N38" s="62"/>
      <c r="O38" s="62"/>
      <c r="P38" s="62"/>
      <c r="Q38" s="62"/>
      <c r="R38" s="62"/>
    </row>
    <row r="39" spans="1:18" ht="1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3"/>
      <c r="K39" s="62"/>
      <c r="L39" s="62"/>
      <c r="M39" s="62"/>
      <c r="N39" s="62"/>
      <c r="O39" s="62"/>
      <c r="P39" s="62"/>
      <c r="Q39" s="62"/>
      <c r="R39" s="62"/>
    </row>
    <row r="40" spans="1:18" ht="1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</row>
    <row r="41" spans="1:18" ht="15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</row>
    <row r="42" spans="1:18" ht="15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</row>
    <row r="43" spans="1:18" ht="15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</row>
    <row r="44" spans="1:18" ht="15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</row>
    <row r="45" spans="1:18" ht="15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</row>
    <row r="46" spans="1:18" ht="15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</row>
    <row r="47" spans="1:18" ht="15" customHeight="1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</row>
    <row r="48" spans="1:18" ht="15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</row>
    <row r="49" spans="1:18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</row>
    <row r="50" spans="1:18" ht="15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</row>
    <row r="51" spans="1:18" ht="15" customHeight="1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</row>
    <row r="52" spans="1:18" ht="15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</row>
    <row r="53" spans="1:18" ht="15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</row>
    <row r="54" spans="1:18" ht="15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</row>
    <row r="55" spans="1:18" ht="15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</row>
    <row r="56" spans="1:18" ht="15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</row>
    <row r="57" spans="1:18" ht="1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</row>
    <row r="58" spans="1:18" ht="15" customHeight="1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</row>
    <row r="59" spans="1:18" ht="15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</row>
    <row r="60" spans="1:18" ht="15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</row>
  </sheetData>
  <mergeCells count="21">
    <mergeCell ref="A1:I1"/>
    <mergeCell ref="K1:R1"/>
    <mergeCell ref="A2:D2"/>
    <mergeCell ref="E2:I2"/>
    <mergeCell ref="K2:R2"/>
    <mergeCell ref="A3:I3"/>
    <mergeCell ref="K3:L3"/>
    <mergeCell ref="M3:N3"/>
    <mergeCell ref="O3:R3"/>
    <mergeCell ref="A4:I4"/>
    <mergeCell ref="K4:R4"/>
    <mergeCell ref="K13:R13"/>
    <mergeCell ref="K31:R31"/>
    <mergeCell ref="A33:I33"/>
    <mergeCell ref="A5:I5"/>
    <mergeCell ref="B6:C6"/>
    <mergeCell ref="E6:F6"/>
    <mergeCell ref="H6:I6"/>
    <mergeCell ref="B7:C7"/>
    <mergeCell ref="E7:F7"/>
    <mergeCell ref="H7:I7"/>
  </mergeCells>
  <conditionalFormatting sqref="L15:Q30">
    <cfRule type="cellIs" dxfId="3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6B"/>
  </sheetPr>
  <dimension ref="A1:X80"/>
  <sheetViews>
    <sheetView showGridLines="0" topLeftCell="A9" zoomScaleNormal="100" workbookViewId="0">
      <selection sqref="A1:V1"/>
    </sheetView>
  </sheetViews>
  <sheetFormatPr defaultColWidth="8.7109375" defaultRowHeight="15" x14ac:dyDescent="0.25"/>
  <cols>
    <col min="1" max="24" width="13" customWidth="1"/>
  </cols>
  <sheetData>
    <row r="1" spans="1:24" ht="42" customHeight="1" x14ac:dyDescent="0.25">
      <c r="A1" s="217" t="s">
        <v>209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62"/>
      <c r="X1" s="62"/>
    </row>
    <row r="2" spans="1:24" ht="7.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4" ht="18" customHeight="1" x14ac:dyDescent="0.25">
      <c r="A3" s="75" t="s">
        <v>7</v>
      </c>
      <c r="B3" s="75" t="s">
        <v>8</v>
      </c>
      <c r="C3" s="75" t="s">
        <v>9</v>
      </c>
      <c r="D3" s="75" t="s">
        <v>124</v>
      </c>
      <c r="E3" s="75" t="s">
        <v>107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</row>
    <row r="4" spans="1:24" ht="19.5" customHeight="1" x14ac:dyDescent="0.25">
      <c r="A4" s="31" t="s">
        <v>130</v>
      </c>
      <c r="B4" s="96">
        <f>'📅 Timetable'!M6</f>
        <v>3</v>
      </c>
      <c r="C4" s="96">
        <f>'📅 Timetable'!N6</f>
        <v>32</v>
      </c>
      <c r="D4" s="97">
        <f t="shared" ref="D4:D9" si="0">IFERROR(B4/C4,0)</f>
        <v>9.375E-2</v>
      </c>
      <c r="E4" s="96">
        <f t="shared" ref="E4:E9" si="1">C4-B4</f>
        <v>29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</row>
    <row r="5" spans="1:24" ht="19.5" customHeight="1" x14ac:dyDescent="0.25">
      <c r="A5" s="36" t="s">
        <v>21</v>
      </c>
      <c r="B5" s="98">
        <f>'📅 Timetable'!M7</f>
        <v>3</v>
      </c>
      <c r="C5" s="98">
        <f>'📅 Timetable'!N7</f>
        <v>16</v>
      </c>
      <c r="D5" s="70">
        <f t="shared" si="0"/>
        <v>0.1875</v>
      </c>
      <c r="E5" s="98">
        <f t="shared" si="1"/>
        <v>13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</row>
    <row r="6" spans="1:24" ht="19.5" customHeight="1" x14ac:dyDescent="0.25">
      <c r="A6" s="44" t="s">
        <v>28</v>
      </c>
      <c r="B6" s="96">
        <f>'📅 Timetable'!M8</f>
        <v>3</v>
      </c>
      <c r="C6" s="96">
        <f>'📅 Timetable'!N8</f>
        <v>20</v>
      </c>
      <c r="D6" s="97">
        <f t="shared" si="0"/>
        <v>0.15</v>
      </c>
      <c r="E6" s="96">
        <f t="shared" si="1"/>
        <v>17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</row>
    <row r="7" spans="1:24" ht="19.5" customHeight="1" x14ac:dyDescent="0.25">
      <c r="A7" s="47" t="s">
        <v>35</v>
      </c>
      <c r="B7" s="98">
        <f>'📅 Timetable'!M9</f>
        <v>0</v>
      </c>
      <c r="C7" s="98">
        <f>'📅 Timetable'!N9</f>
        <v>24</v>
      </c>
      <c r="D7" s="70">
        <f t="shared" si="0"/>
        <v>0</v>
      </c>
      <c r="E7" s="98">
        <f t="shared" si="1"/>
        <v>24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</row>
    <row r="8" spans="1:24" ht="19.5" customHeight="1" x14ac:dyDescent="0.25">
      <c r="A8" s="50" t="s">
        <v>71</v>
      </c>
      <c r="B8" s="96">
        <f>'📅 Timetable'!M10</f>
        <v>0</v>
      </c>
      <c r="C8" s="96">
        <f>'📅 Timetable'!N10</f>
        <v>18</v>
      </c>
      <c r="D8" s="97">
        <f t="shared" si="0"/>
        <v>0</v>
      </c>
      <c r="E8" s="96">
        <f t="shared" si="1"/>
        <v>18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 spans="1:24" ht="19.5" customHeight="1" x14ac:dyDescent="0.25">
      <c r="A9" s="53" t="s">
        <v>50</v>
      </c>
      <c r="B9" s="98">
        <f>'📅 Timetable'!M11</f>
        <v>3</v>
      </c>
      <c r="C9" s="98">
        <f>'📅 Timetable'!N11</f>
        <v>16</v>
      </c>
      <c r="D9" s="70">
        <f t="shared" si="0"/>
        <v>0.1875</v>
      </c>
      <c r="E9" s="98">
        <f t="shared" si="1"/>
        <v>13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</row>
    <row r="10" spans="1:24" ht="15" customHeight="1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</row>
    <row r="11" spans="1:24" ht="15" customHeight="1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 spans="1:24" ht="15" customHeight="1" x14ac:dyDescent="0.25">
      <c r="A12" s="99" t="s">
        <v>210</v>
      </c>
      <c r="B12" s="100">
        <f>IFERROR(AVERAGE('📅 Timetable'!O6:O11),0)</f>
        <v>0.10312500000000001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 spans="1:24" ht="15" customHeight="1" x14ac:dyDescent="0.25">
      <c r="A13" s="99" t="s">
        <v>211</v>
      </c>
      <c r="B13" s="100">
        <f>1-IFERROR(AVERAGE('📅 Timetable'!O6:O11),0)</f>
        <v>0.89687499999999998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</row>
    <row r="14" spans="1:24" ht="15" customHeight="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</row>
    <row r="15" spans="1:24" ht="15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</row>
    <row r="16" spans="1:24" ht="1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 spans="1:24" ht="15" customHeight="1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</row>
    <row r="18" spans="1:24" ht="15" customHeight="1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</row>
    <row r="19" spans="1:24" ht="15" customHeight="1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</row>
    <row r="20" spans="1:24" ht="15" customHeight="1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</row>
    <row r="21" spans="1:24" ht="15" customHeight="1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</row>
    <row r="22" spans="1:24" ht="15" customHeight="1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3" spans="1:24" ht="1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</row>
    <row r="24" spans="1:24" ht="1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</row>
    <row r="25" spans="1:24" ht="1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</row>
    <row r="26" spans="1:24" ht="15" customHeight="1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</row>
    <row r="27" spans="1:24" ht="15" customHeight="1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 spans="1:24" ht="1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 spans="1:24" ht="15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 spans="1:24" ht="15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 spans="1:24" ht="15" customHeight="1" x14ac:dyDescent="0.25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 spans="1:24" ht="21.75" customHeight="1" x14ac:dyDescent="0.25">
      <c r="A32" s="218" t="s">
        <v>212</v>
      </c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62"/>
      <c r="X32" s="62"/>
    </row>
    <row r="33" spans="1:24" ht="15" customHeight="1" x14ac:dyDescent="0.25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 spans="1:24" ht="19.5" customHeight="1" x14ac:dyDescent="0.25">
      <c r="A34" s="219" t="s">
        <v>130</v>
      </c>
      <c r="B34" s="219"/>
      <c r="C34" s="219"/>
      <c r="D34" s="205">
        <f>'📅 Timetable'!O6</f>
        <v>9.375E-2</v>
      </c>
      <c r="E34" s="205"/>
      <c r="F34" s="220" t="str">
        <f>REPT("█",ROUND('📅 Timetable'!O6*30,0))&amp;REPT("░",30-ROUND('📅 Timetable'!O6*30,0))</f>
        <v>███░░░░░░░░░░░░░░░░░░░░░░░░░░░</v>
      </c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07" t="str">
        <f>IF('📅 Timetable'!O6=1,"✅ COMPLETE",IF('📅 Timetable'!O6&gt;0,"⏳ In Progress","🔒 Pending"))</f>
        <v>⏳ In Progress</v>
      </c>
      <c r="T34" s="207"/>
      <c r="U34" s="207"/>
      <c r="V34" s="207"/>
      <c r="W34" s="62"/>
      <c r="X34" s="62"/>
    </row>
    <row r="35" spans="1:24" ht="19.5" customHeight="1" x14ac:dyDescent="0.25">
      <c r="A35" s="219"/>
      <c r="B35" s="219"/>
      <c r="C35" s="219"/>
      <c r="D35" s="208" t="s">
        <v>213</v>
      </c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62"/>
      <c r="X35" s="62"/>
    </row>
    <row r="36" spans="1:24" ht="19.5" customHeight="1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2"/>
      <c r="X36" s="62"/>
    </row>
    <row r="37" spans="1:24" ht="19.5" customHeight="1" x14ac:dyDescent="0.25">
      <c r="A37" s="215" t="s">
        <v>21</v>
      </c>
      <c r="B37" s="215"/>
      <c r="C37" s="215"/>
      <c r="D37" s="205">
        <f>'📅 Timetable'!O7</f>
        <v>0.1875</v>
      </c>
      <c r="E37" s="205"/>
      <c r="F37" s="216" t="str">
        <f>REPT("█",ROUND('📅 Timetable'!O7*30,0))&amp;REPT("░",30-ROUND('📅 Timetable'!O7*30,0))</f>
        <v>██████░░░░░░░░░░░░░░░░░░░░░░░░</v>
      </c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07" t="str">
        <f>IF('📅 Timetable'!O7=1,"✅ COMPLETE",IF('📅 Timetable'!O7&gt;0,"⏳ In Progress","🔒 Pending"))</f>
        <v>⏳ In Progress</v>
      </c>
      <c r="T37" s="207"/>
      <c r="U37" s="207"/>
      <c r="V37" s="207"/>
      <c r="W37" s="62"/>
      <c r="X37" s="62"/>
    </row>
    <row r="38" spans="1:24" ht="19.5" customHeight="1" x14ac:dyDescent="0.25">
      <c r="A38" s="215"/>
      <c r="B38" s="215"/>
      <c r="C38" s="215"/>
      <c r="D38" s="208" t="s">
        <v>214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62"/>
      <c r="X38" s="62"/>
    </row>
    <row r="39" spans="1:24" ht="19.5" customHeight="1" x14ac:dyDescent="0.2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2"/>
      <c r="X39" s="62"/>
    </row>
    <row r="40" spans="1:24" ht="19.5" customHeight="1" x14ac:dyDescent="0.25">
      <c r="A40" s="213" t="s">
        <v>28</v>
      </c>
      <c r="B40" s="213"/>
      <c r="C40" s="213"/>
      <c r="D40" s="205">
        <f>'📅 Timetable'!O8</f>
        <v>0.15</v>
      </c>
      <c r="E40" s="205"/>
      <c r="F40" s="214" t="str">
        <f>REPT("█",ROUND('📅 Timetable'!O8*30,0))&amp;REPT("░",30-ROUND('📅 Timetable'!O8*30,0))</f>
        <v>█████░░░░░░░░░░░░░░░░░░░░░░░░░</v>
      </c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07" t="str">
        <f>IF('📅 Timetable'!O8=1,"✅ COMPLETE",IF('📅 Timetable'!O8&gt;0,"⏳ In Progress","🔒 Pending"))</f>
        <v>⏳ In Progress</v>
      </c>
      <c r="T40" s="207"/>
      <c r="U40" s="207"/>
      <c r="V40" s="207"/>
      <c r="W40" s="62"/>
      <c r="X40" s="62"/>
    </row>
    <row r="41" spans="1:24" ht="19.5" customHeight="1" x14ac:dyDescent="0.25">
      <c r="A41" s="213"/>
      <c r="B41" s="213"/>
      <c r="C41" s="213"/>
      <c r="D41" s="208" t="s">
        <v>215</v>
      </c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62"/>
      <c r="X41" s="62"/>
    </row>
    <row r="42" spans="1:24" ht="19.5" customHeight="1" x14ac:dyDescent="0.2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2"/>
      <c r="X42" s="62"/>
    </row>
    <row r="43" spans="1:24" ht="19.5" customHeight="1" x14ac:dyDescent="0.25">
      <c r="A43" s="211" t="s">
        <v>35</v>
      </c>
      <c r="B43" s="211"/>
      <c r="C43" s="211"/>
      <c r="D43" s="205">
        <f>'📅 Timetable'!O9</f>
        <v>0</v>
      </c>
      <c r="E43" s="205"/>
      <c r="F43" s="212" t="str">
        <f>REPT("█",ROUND('📅 Timetable'!O9*30,0))&amp;REPT("░",30-ROUND('📅 Timetable'!O9*30,0))</f>
        <v>░░░░░░░░░░░░░░░░░░░░░░░░░░░░░░</v>
      </c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07" t="str">
        <f>IF('📅 Timetable'!O9=1,"✅ COMPLETE",IF('📅 Timetable'!O9&gt;0,"⏳ In Progress","🔒 Pending"))</f>
        <v>🔒 Pending</v>
      </c>
      <c r="T43" s="207"/>
      <c r="U43" s="207"/>
      <c r="V43" s="207"/>
      <c r="W43" s="62"/>
      <c r="X43" s="62"/>
    </row>
    <row r="44" spans="1:24" ht="19.5" customHeight="1" x14ac:dyDescent="0.25">
      <c r="A44" s="211"/>
      <c r="B44" s="211"/>
      <c r="C44" s="211"/>
      <c r="D44" s="208" t="s">
        <v>216</v>
      </c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62"/>
      <c r="X44" s="62"/>
    </row>
    <row r="45" spans="1:24" ht="19.5" customHeight="1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2"/>
      <c r="X45" s="62"/>
    </row>
    <row r="46" spans="1:24" ht="19.5" customHeight="1" x14ac:dyDescent="0.25">
      <c r="A46" s="209" t="s">
        <v>71</v>
      </c>
      <c r="B46" s="209"/>
      <c r="C46" s="209"/>
      <c r="D46" s="205">
        <f>'📅 Timetable'!O10</f>
        <v>0</v>
      </c>
      <c r="E46" s="205"/>
      <c r="F46" s="210" t="str">
        <f>REPT("█",ROUND('📅 Timetable'!O10*30,0))&amp;REPT("░",30-ROUND('📅 Timetable'!O10*30,0))</f>
        <v>░░░░░░░░░░░░░░░░░░░░░░░░░░░░░░</v>
      </c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07" t="str">
        <f>IF('📅 Timetable'!O10=1,"✅ COMPLETE",IF('📅 Timetable'!O10&gt;0,"⏳ In Progress","🔒 Pending"))</f>
        <v>🔒 Pending</v>
      </c>
      <c r="T46" s="207"/>
      <c r="U46" s="207"/>
      <c r="V46" s="207"/>
      <c r="W46" s="62"/>
      <c r="X46" s="62"/>
    </row>
    <row r="47" spans="1:24" ht="19.5" customHeight="1" x14ac:dyDescent="0.25">
      <c r="A47" s="209"/>
      <c r="B47" s="209"/>
      <c r="C47" s="209"/>
      <c r="D47" s="208" t="s">
        <v>217</v>
      </c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62"/>
      <c r="X47" s="62"/>
    </row>
    <row r="48" spans="1:24" ht="19.5" customHeight="1" x14ac:dyDescent="0.2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2"/>
      <c r="X48" s="62"/>
    </row>
    <row r="49" spans="1:24" ht="19.5" customHeight="1" x14ac:dyDescent="0.25">
      <c r="A49" s="204" t="s">
        <v>50</v>
      </c>
      <c r="B49" s="204"/>
      <c r="C49" s="204"/>
      <c r="D49" s="205">
        <f>'📅 Timetable'!O11</f>
        <v>0.1875</v>
      </c>
      <c r="E49" s="205"/>
      <c r="F49" s="206" t="str">
        <f>REPT("█",ROUND('📅 Timetable'!O11*30,0))&amp;REPT("░",30-ROUND('📅 Timetable'!O11*30,0))</f>
        <v>██████░░░░░░░░░░░░░░░░░░░░░░░░</v>
      </c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7" t="str">
        <f>IF('📅 Timetable'!O11=1,"✅ COMPLETE",IF('📅 Timetable'!O11&gt;0,"⏳ In Progress","🔒 Pending"))</f>
        <v>⏳ In Progress</v>
      </c>
      <c r="T49" s="207"/>
      <c r="U49" s="207"/>
      <c r="V49" s="207"/>
      <c r="W49" s="62"/>
      <c r="X49" s="62"/>
    </row>
    <row r="50" spans="1:24" ht="19.5" customHeight="1" x14ac:dyDescent="0.25">
      <c r="A50" s="204"/>
      <c r="B50" s="204"/>
      <c r="C50" s="204"/>
      <c r="D50" s="208" t="s">
        <v>218</v>
      </c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62"/>
      <c r="X50" s="62"/>
    </row>
    <row r="51" spans="1:24" ht="19.5" customHeight="1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2"/>
      <c r="X51" s="62"/>
    </row>
    <row r="52" spans="1:24" ht="15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 spans="1:24" ht="15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</row>
    <row r="54" spans="1:24" ht="15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</row>
    <row r="55" spans="1:24" ht="15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</row>
    <row r="56" spans="1:24" ht="15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</row>
    <row r="57" spans="1:24" ht="1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</row>
    <row r="58" spans="1:24" ht="15" customHeight="1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</row>
    <row r="59" spans="1:24" ht="15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</row>
    <row r="60" spans="1:24" ht="15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</row>
    <row r="61" spans="1:24" ht="15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</row>
    <row r="62" spans="1:24" ht="15" customHeight="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</row>
    <row r="63" spans="1:24" ht="1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</row>
    <row r="64" spans="1:24" ht="15" customHeight="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</row>
    <row r="65" spans="1:24" ht="1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</row>
    <row r="66" spans="1:24" ht="15" customHeight="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</row>
    <row r="67" spans="1:24" ht="1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</row>
    <row r="68" spans="1:24" ht="15" customHeight="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</row>
    <row r="69" spans="1:24" ht="1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</row>
    <row r="70" spans="1:24" ht="15" customHeight="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</row>
    <row r="71" spans="1:24" ht="1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</row>
    <row r="72" spans="1:24" ht="15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</row>
    <row r="73" spans="1:24" ht="1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</row>
    <row r="74" spans="1:24" ht="15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</row>
    <row r="75" spans="1:24" ht="1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</row>
    <row r="76" spans="1:24" ht="15" customHeight="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</row>
    <row r="77" spans="1:24" ht="1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</row>
    <row r="78" spans="1:24" ht="15" customHeight="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</row>
    <row r="79" spans="1:24" ht="1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</row>
    <row r="80" spans="1:24" ht="15" customHeight="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</row>
  </sheetData>
  <mergeCells count="32">
    <mergeCell ref="A1:V1"/>
    <mergeCell ref="A32:V32"/>
    <mergeCell ref="A34:C35"/>
    <mergeCell ref="D34:E34"/>
    <mergeCell ref="F34:R34"/>
    <mergeCell ref="S34:V34"/>
    <mergeCell ref="D35:V35"/>
    <mergeCell ref="A37:C38"/>
    <mergeCell ref="D37:E37"/>
    <mergeCell ref="F37:R37"/>
    <mergeCell ref="S37:V37"/>
    <mergeCell ref="D38:V38"/>
    <mergeCell ref="A40:C41"/>
    <mergeCell ref="D40:E40"/>
    <mergeCell ref="F40:R40"/>
    <mergeCell ref="S40:V40"/>
    <mergeCell ref="D41:V41"/>
    <mergeCell ref="A43:C44"/>
    <mergeCell ref="D43:E43"/>
    <mergeCell ref="F43:R43"/>
    <mergeCell ref="S43:V43"/>
    <mergeCell ref="D44:V44"/>
    <mergeCell ref="A46:C47"/>
    <mergeCell ref="D46:E46"/>
    <mergeCell ref="F46:R46"/>
    <mergeCell ref="S46:V46"/>
    <mergeCell ref="D47:V47"/>
    <mergeCell ref="A49:C50"/>
    <mergeCell ref="D49:E49"/>
    <mergeCell ref="F49:R49"/>
    <mergeCell ref="S49:V49"/>
    <mergeCell ref="D50:V5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0E91"/>
  </sheetPr>
  <dimension ref="A1:M90"/>
  <sheetViews>
    <sheetView showGridLines="0" zoomScaleNormal="100" workbookViewId="0">
      <selection activeCell="F17" sqref="F17"/>
    </sheetView>
  </sheetViews>
  <sheetFormatPr defaultColWidth="8.7109375" defaultRowHeight="15" x14ac:dyDescent="0.25"/>
  <cols>
    <col min="1" max="1" width="4" customWidth="1"/>
    <col min="2" max="2" width="28" customWidth="1"/>
    <col min="3" max="3" width="14" customWidth="1"/>
    <col min="4" max="4" width="18" customWidth="1"/>
    <col min="5" max="5" width="12" customWidth="1"/>
    <col min="6" max="6" width="24" customWidth="1"/>
    <col min="7" max="7" width="4" customWidth="1"/>
    <col min="8" max="8" width="28" customWidth="1"/>
    <col min="9" max="9" width="14" customWidth="1"/>
    <col min="10" max="10" width="18" customWidth="1"/>
    <col min="11" max="11" width="12" customWidth="1"/>
    <col min="12" max="12" width="24" customWidth="1"/>
    <col min="13" max="25" width="13" customWidth="1"/>
  </cols>
  <sheetData>
    <row r="1" spans="1:13" ht="49.5" customHeight="1" x14ac:dyDescent="0.25">
      <c r="A1" s="201" t="s">
        <v>219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62"/>
    </row>
    <row r="2" spans="1:13" ht="31.5" customHeight="1" x14ac:dyDescent="0.25">
      <c r="A2" s="234" t="s">
        <v>220</v>
      </c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62"/>
    </row>
    <row r="3" spans="1:13" ht="7.5" customHeight="1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</row>
    <row r="4" spans="1:13" ht="36" customHeight="1" x14ac:dyDescent="0.25">
      <c r="A4" s="235" t="s">
        <v>221</v>
      </c>
      <c r="B4" s="235"/>
      <c r="C4" s="235"/>
      <c r="D4" s="101">
        <f>IFERROR(COUNTIF(C8:C22,"✅")/COUNTA(B8:B22),0)</f>
        <v>0.8</v>
      </c>
      <c r="E4" s="210" t="str">
        <f>REPT("█",ROUND(IFERROR(COUNTIF(C8:C22,"✅")/COUNTA(B8:B22),0)*24,0))&amp;REPT("░",24-ROUND(IFERROR(COUNTIF(C8:C22,"✅")/COUNTA(B8:B22),0)*24,0))</f>
        <v>███████████████████░░░░░</v>
      </c>
      <c r="F4" s="210"/>
      <c r="G4" s="235" t="s">
        <v>222</v>
      </c>
      <c r="H4" s="235"/>
      <c r="I4" s="235"/>
      <c r="J4" s="102">
        <f>IFERROR(COUNTIF(I8:I19,"✅")/COUNTA(H8:H19),0)</f>
        <v>0</v>
      </c>
      <c r="K4" s="212" t="str">
        <f>REPT("█",ROUND(IFERROR(COUNTIF(I8:I19,"✅")/COUNTA(H8:H19),0)*24,0))&amp;REPT("░",24-ROUND(IFERROR(COUNTIF(I8:I19,"✅")/COUNTA(H8:H19),0)*24,0))</f>
        <v>░░░░░░░░░░░░░░░░░░░░░░░░</v>
      </c>
      <c r="L4" s="212"/>
      <c r="M4" s="62"/>
    </row>
    <row r="5" spans="1:13" ht="7.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spans="1:13" ht="43.5" customHeight="1" x14ac:dyDescent="0.25">
      <c r="A6" s="230" t="s">
        <v>223</v>
      </c>
      <c r="B6" s="230"/>
      <c r="C6" s="230"/>
      <c r="D6" s="230"/>
      <c r="E6" s="230"/>
      <c r="F6" s="230"/>
      <c r="G6" s="231" t="s">
        <v>224</v>
      </c>
      <c r="H6" s="231"/>
      <c r="I6" s="231"/>
      <c r="J6" s="231"/>
      <c r="K6" s="231"/>
      <c r="L6" s="231"/>
      <c r="M6" s="62"/>
    </row>
    <row r="7" spans="1:13" ht="18" customHeight="1" x14ac:dyDescent="0.25">
      <c r="A7" s="62"/>
      <c r="B7" s="103" t="s">
        <v>136</v>
      </c>
      <c r="C7" s="103" t="s">
        <v>10</v>
      </c>
      <c r="D7" s="103" t="s">
        <v>225</v>
      </c>
      <c r="E7" s="62"/>
      <c r="F7" s="103" t="s">
        <v>226</v>
      </c>
      <c r="G7" s="62"/>
      <c r="H7" s="103" t="s">
        <v>136</v>
      </c>
      <c r="I7" s="103" t="s">
        <v>10</v>
      </c>
      <c r="J7" s="103" t="s">
        <v>225</v>
      </c>
      <c r="K7" s="62"/>
      <c r="L7" s="103" t="s">
        <v>226</v>
      </c>
      <c r="M7" s="62"/>
    </row>
    <row r="8" spans="1:13" ht="21.75" customHeight="1" x14ac:dyDescent="0.25">
      <c r="A8" s="62"/>
      <c r="B8" s="104" t="s">
        <v>227</v>
      </c>
      <c r="C8" s="105" t="s">
        <v>228</v>
      </c>
      <c r="D8" s="106" t="s">
        <v>229</v>
      </c>
      <c r="E8" s="2"/>
      <c r="F8" s="107" t="s">
        <v>230</v>
      </c>
      <c r="G8" s="62"/>
      <c r="H8" s="11" t="s">
        <v>231</v>
      </c>
      <c r="I8" s="108" t="s">
        <v>232</v>
      </c>
      <c r="J8" s="106" t="s">
        <v>233</v>
      </c>
      <c r="K8" s="2"/>
      <c r="L8" s="107" t="s">
        <v>234</v>
      </c>
      <c r="M8" s="62"/>
    </row>
    <row r="9" spans="1:13" ht="21.75" customHeight="1" x14ac:dyDescent="0.25">
      <c r="A9" s="62"/>
      <c r="B9" s="109" t="s">
        <v>235</v>
      </c>
      <c r="C9" s="105" t="s">
        <v>228</v>
      </c>
      <c r="D9" s="71" t="s">
        <v>229</v>
      </c>
      <c r="E9" s="27"/>
      <c r="F9" s="110" t="s">
        <v>236</v>
      </c>
      <c r="G9" s="62"/>
      <c r="H9" s="19" t="s">
        <v>237</v>
      </c>
      <c r="I9" s="111" t="s">
        <v>238</v>
      </c>
      <c r="J9" s="71" t="s">
        <v>239</v>
      </c>
      <c r="K9" s="27"/>
      <c r="L9" s="110" t="s">
        <v>240</v>
      </c>
      <c r="M9" s="62"/>
    </row>
    <row r="10" spans="1:13" ht="21.75" customHeight="1" x14ac:dyDescent="0.25">
      <c r="A10" s="62"/>
      <c r="B10" s="104" t="s">
        <v>241</v>
      </c>
      <c r="C10" s="105" t="s">
        <v>228</v>
      </c>
      <c r="D10" s="106" t="s">
        <v>229</v>
      </c>
      <c r="E10" s="2"/>
      <c r="F10" s="107" t="s">
        <v>242</v>
      </c>
      <c r="G10" s="62"/>
      <c r="H10" s="11" t="s">
        <v>243</v>
      </c>
      <c r="I10" s="112" t="s">
        <v>238</v>
      </c>
      <c r="J10" s="106" t="s">
        <v>239</v>
      </c>
      <c r="K10" s="2"/>
      <c r="L10" s="107" t="s">
        <v>244</v>
      </c>
      <c r="M10" s="62"/>
    </row>
    <row r="11" spans="1:13" ht="21.75" customHeight="1" x14ac:dyDescent="0.25">
      <c r="A11" s="62"/>
      <c r="B11" s="109" t="s">
        <v>245</v>
      </c>
      <c r="C11" s="105" t="s">
        <v>228</v>
      </c>
      <c r="D11" s="71" t="s">
        <v>229</v>
      </c>
      <c r="E11" s="27"/>
      <c r="F11" s="110" t="s">
        <v>246</v>
      </c>
      <c r="G11" s="62"/>
      <c r="H11" s="19" t="s">
        <v>247</v>
      </c>
      <c r="I11" s="111" t="s">
        <v>238</v>
      </c>
      <c r="J11" s="71" t="s">
        <v>248</v>
      </c>
      <c r="K11" s="27"/>
      <c r="L11" s="110" t="s">
        <v>249</v>
      </c>
      <c r="M11" s="62"/>
    </row>
    <row r="12" spans="1:13" ht="21.75" customHeight="1" x14ac:dyDescent="0.25">
      <c r="A12" s="62"/>
      <c r="B12" s="104" t="s">
        <v>250</v>
      </c>
      <c r="C12" s="105" t="s">
        <v>228</v>
      </c>
      <c r="D12" s="106" t="s">
        <v>229</v>
      </c>
      <c r="E12" s="2"/>
      <c r="F12" s="107" t="s">
        <v>251</v>
      </c>
      <c r="G12" s="62"/>
      <c r="H12" s="11" t="s">
        <v>252</v>
      </c>
      <c r="I12" s="112" t="s">
        <v>238</v>
      </c>
      <c r="J12" s="106" t="s">
        <v>248</v>
      </c>
      <c r="K12" s="2"/>
      <c r="L12" s="107" t="s">
        <v>253</v>
      </c>
      <c r="M12" s="62"/>
    </row>
    <row r="13" spans="1:13" ht="21.75" customHeight="1" x14ac:dyDescent="0.25">
      <c r="A13" s="62"/>
      <c r="B13" s="109" t="s">
        <v>254</v>
      </c>
      <c r="C13" s="105" t="s">
        <v>228</v>
      </c>
      <c r="D13" s="71" t="s">
        <v>229</v>
      </c>
      <c r="E13" s="27"/>
      <c r="F13" s="110" t="s">
        <v>255</v>
      </c>
      <c r="G13" s="62"/>
      <c r="H13" s="19" t="s">
        <v>256</v>
      </c>
      <c r="I13" s="111" t="s">
        <v>238</v>
      </c>
      <c r="J13" s="71" t="s">
        <v>248</v>
      </c>
      <c r="K13" s="27"/>
      <c r="L13" s="110" t="s">
        <v>257</v>
      </c>
      <c r="M13" s="62"/>
    </row>
    <row r="14" spans="1:13" ht="21.75" customHeight="1" x14ac:dyDescent="0.25">
      <c r="A14" s="62"/>
      <c r="B14" s="104" t="s">
        <v>258</v>
      </c>
      <c r="C14" s="105" t="s">
        <v>228</v>
      </c>
      <c r="D14" s="106" t="s">
        <v>229</v>
      </c>
      <c r="E14" s="2"/>
      <c r="F14" s="107" t="s">
        <v>259</v>
      </c>
      <c r="G14" s="62"/>
      <c r="H14" s="11" t="s">
        <v>260</v>
      </c>
      <c r="I14" s="112" t="s">
        <v>238</v>
      </c>
      <c r="J14" s="106" t="s">
        <v>261</v>
      </c>
      <c r="K14" s="2"/>
      <c r="L14" s="107" t="s">
        <v>262</v>
      </c>
      <c r="M14" s="62"/>
    </row>
    <row r="15" spans="1:13" ht="21.75" customHeight="1" x14ac:dyDescent="0.25">
      <c r="A15" s="62"/>
      <c r="B15" s="109" t="s">
        <v>263</v>
      </c>
      <c r="C15" s="105" t="s">
        <v>228</v>
      </c>
      <c r="D15" s="71" t="s">
        <v>264</v>
      </c>
      <c r="E15" s="27"/>
      <c r="F15" s="110" t="s">
        <v>265</v>
      </c>
      <c r="G15" s="62"/>
      <c r="H15" s="19" t="s">
        <v>266</v>
      </c>
      <c r="I15" s="111" t="s">
        <v>238</v>
      </c>
      <c r="J15" s="71" t="s">
        <v>261</v>
      </c>
      <c r="K15" s="27"/>
      <c r="L15" s="110" t="s">
        <v>267</v>
      </c>
      <c r="M15" s="62"/>
    </row>
    <row r="16" spans="1:13" ht="21.75" customHeight="1" x14ac:dyDescent="0.25">
      <c r="A16" s="62"/>
      <c r="B16" s="104" t="s">
        <v>268</v>
      </c>
      <c r="C16" s="105" t="s">
        <v>228</v>
      </c>
      <c r="D16" s="106" t="s">
        <v>264</v>
      </c>
      <c r="E16" s="2"/>
      <c r="F16" s="107" t="s">
        <v>269</v>
      </c>
      <c r="G16" s="62"/>
      <c r="H16" s="11" t="s">
        <v>270</v>
      </c>
      <c r="I16" s="112" t="s">
        <v>238</v>
      </c>
      <c r="J16" s="106" t="s">
        <v>271</v>
      </c>
      <c r="K16" s="2"/>
      <c r="L16" s="107" t="s">
        <v>272</v>
      </c>
      <c r="M16" s="62"/>
    </row>
    <row r="17" spans="1:13" ht="21.75" customHeight="1" x14ac:dyDescent="0.25">
      <c r="A17" s="62"/>
      <c r="B17" s="19" t="s">
        <v>273</v>
      </c>
      <c r="C17" s="105" t="s">
        <v>228</v>
      </c>
      <c r="D17" s="71" t="s">
        <v>264</v>
      </c>
      <c r="E17" s="27"/>
      <c r="F17" s="110" t="s">
        <v>274</v>
      </c>
      <c r="G17" s="62"/>
      <c r="H17" s="19" t="s">
        <v>275</v>
      </c>
      <c r="I17" s="111" t="s">
        <v>238</v>
      </c>
      <c r="J17" s="71" t="s">
        <v>276</v>
      </c>
      <c r="K17" s="27"/>
      <c r="L17" s="110" t="s">
        <v>277</v>
      </c>
      <c r="M17" s="62"/>
    </row>
    <row r="18" spans="1:13" ht="21.75" customHeight="1" x14ac:dyDescent="0.25">
      <c r="A18" s="62"/>
      <c r="B18" s="11" t="s">
        <v>278</v>
      </c>
      <c r="C18" s="105" t="s">
        <v>228</v>
      </c>
      <c r="D18" s="106" t="s">
        <v>264</v>
      </c>
      <c r="E18" s="2"/>
      <c r="F18" s="107" t="s">
        <v>279</v>
      </c>
      <c r="G18" s="62"/>
      <c r="H18" s="11" t="s">
        <v>280</v>
      </c>
      <c r="I18" s="112" t="s">
        <v>238</v>
      </c>
      <c r="J18" s="106" t="s">
        <v>281</v>
      </c>
      <c r="K18" s="2"/>
      <c r="L18" s="107" t="s">
        <v>282</v>
      </c>
      <c r="M18" s="62"/>
    </row>
    <row r="19" spans="1:13" ht="21.75" customHeight="1" x14ac:dyDescent="0.25">
      <c r="A19" s="62"/>
      <c r="B19" s="19" t="s">
        <v>283</v>
      </c>
      <c r="C19" s="105" t="s">
        <v>228</v>
      </c>
      <c r="D19" s="71" t="s">
        <v>284</v>
      </c>
      <c r="E19" s="27"/>
      <c r="F19" s="110" t="s">
        <v>285</v>
      </c>
      <c r="G19" s="62"/>
      <c r="H19" s="19" t="s">
        <v>286</v>
      </c>
      <c r="I19" s="111" t="s">
        <v>238</v>
      </c>
      <c r="J19" s="71" t="s">
        <v>287</v>
      </c>
      <c r="K19" s="27"/>
      <c r="L19" s="110" t="s">
        <v>288</v>
      </c>
      <c r="M19" s="62"/>
    </row>
    <row r="20" spans="1:13" ht="21.75" customHeight="1" x14ac:dyDescent="0.25">
      <c r="A20" s="62"/>
      <c r="B20" s="11" t="s">
        <v>289</v>
      </c>
      <c r="C20" s="112" t="s">
        <v>238</v>
      </c>
      <c r="D20" s="106" t="s">
        <v>284</v>
      </c>
      <c r="E20" s="2"/>
      <c r="F20" s="107" t="s">
        <v>290</v>
      </c>
      <c r="G20" s="62"/>
      <c r="H20" s="62"/>
      <c r="I20" s="62"/>
      <c r="J20" s="62"/>
      <c r="K20" s="62"/>
      <c r="L20" s="62"/>
      <c r="M20" s="62"/>
    </row>
    <row r="21" spans="1:13" ht="21.75" customHeight="1" x14ac:dyDescent="0.25">
      <c r="A21" s="62"/>
      <c r="B21" s="19" t="s">
        <v>291</v>
      </c>
      <c r="C21" s="111" t="s">
        <v>238</v>
      </c>
      <c r="D21" s="71" t="s">
        <v>233</v>
      </c>
      <c r="E21" s="27"/>
      <c r="F21" s="110" t="s">
        <v>292</v>
      </c>
      <c r="G21" s="62"/>
      <c r="H21" s="62"/>
      <c r="I21" s="62"/>
      <c r="J21" s="62"/>
      <c r="K21" s="62"/>
      <c r="L21" s="62"/>
      <c r="M21" s="62"/>
    </row>
    <row r="22" spans="1:13" ht="21.75" customHeight="1" x14ac:dyDescent="0.25">
      <c r="A22" s="62"/>
      <c r="B22" s="11" t="s">
        <v>293</v>
      </c>
      <c r="C22" s="112" t="s">
        <v>238</v>
      </c>
      <c r="D22" s="106" t="s">
        <v>239</v>
      </c>
      <c r="E22" s="2"/>
      <c r="F22" s="107" t="s">
        <v>294</v>
      </c>
      <c r="G22" s="62"/>
      <c r="H22" s="62"/>
      <c r="I22" s="62"/>
      <c r="J22" s="62"/>
      <c r="K22" s="62"/>
      <c r="L22" s="62"/>
      <c r="M22" s="62"/>
    </row>
    <row r="23" spans="1:13" ht="15" customHeight="1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</row>
    <row r="24" spans="1:13" ht="15" customHeight="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</row>
    <row r="25" spans="1:13" ht="7.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spans="1:13" ht="19.5" customHeight="1" x14ac:dyDescent="0.25">
      <c r="A26" s="232" t="s">
        <v>295</v>
      </c>
      <c r="B26" s="232"/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62"/>
    </row>
    <row r="27" spans="1:13" ht="21.75" customHeight="1" x14ac:dyDescent="0.25">
      <c r="A27" s="50" t="s">
        <v>18</v>
      </c>
      <c r="B27" s="233" t="s">
        <v>296</v>
      </c>
      <c r="C27" s="233"/>
      <c r="D27" s="233"/>
      <c r="E27" s="224" t="s">
        <v>297</v>
      </c>
      <c r="F27" s="224"/>
      <c r="G27" s="224"/>
      <c r="H27" s="224"/>
      <c r="I27" s="224"/>
      <c r="J27" s="224"/>
      <c r="K27" s="224"/>
      <c r="L27" s="224"/>
      <c r="M27" s="62"/>
    </row>
    <row r="28" spans="1:13" ht="21.75" customHeight="1" x14ac:dyDescent="0.25">
      <c r="A28" s="47" t="s">
        <v>18</v>
      </c>
      <c r="B28" s="227" t="s">
        <v>298</v>
      </c>
      <c r="C28" s="227"/>
      <c r="D28" s="227"/>
      <c r="E28" s="222" t="s">
        <v>299</v>
      </c>
      <c r="F28" s="222"/>
      <c r="G28" s="222"/>
      <c r="H28" s="222"/>
      <c r="I28" s="222"/>
      <c r="J28" s="222"/>
      <c r="K28" s="222"/>
      <c r="L28" s="222"/>
      <c r="M28" s="62"/>
    </row>
    <row r="29" spans="1:13" ht="21.75" customHeight="1" x14ac:dyDescent="0.25">
      <c r="A29" s="44" t="s">
        <v>18</v>
      </c>
      <c r="B29" s="228" t="s">
        <v>300</v>
      </c>
      <c r="C29" s="228"/>
      <c r="D29" s="228"/>
      <c r="E29" s="224" t="s">
        <v>301</v>
      </c>
      <c r="F29" s="224"/>
      <c r="G29" s="224"/>
      <c r="H29" s="224"/>
      <c r="I29" s="224"/>
      <c r="J29" s="224"/>
      <c r="K29" s="224"/>
      <c r="L29" s="224"/>
      <c r="M29" s="62"/>
    </row>
    <row r="30" spans="1:13" ht="21.75" customHeight="1" x14ac:dyDescent="0.25">
      <c r="A30" s="31" t="s">
        <v>18</v>
      </c>
      <c r="B30" s="229" t="s">
        <v>302</v>
      </c>
      <c r="C30" s="229"/>
      <c r="D30" s="229"/>
      <c r="E30" s="222" t="s">
        <v>303</v>
      </c>
      <c r="F30" s="222"/>
      <c r="G30" s="222"/>
      <c r="H30" s="222"/>
      <c r="I30" s="222"/>
      <c r="J30" s="222"/>
      <c r="K30" s="222"/>
      <c r="L30" s="222"/>
      <c r="M30" s="62"/>
    </row>
    <row r="31" spans="1:13" ht="21.75" customHeight="1" x14ac:dyDescent="0.25">
      <c r="A31" s="36" t="s">
        <v>18</v>
      </c>
      <c r="B31" s="223" t="s">
        <v>304</v>
      </c>
      <c r="C31" s="223"/>
      <c r="D31" s="223"/>
      <c r="E31" s="224" t="s">
        <v>305</v>
      </c>
      <c r="F31" s="224"/>
      <c r="G31" s="224"/>
      <c r="H31" s="224"/>
      <c r="I31" s="224"/>
      <c r="J31" s="224"/>
      <c r="K31" s="224"/>
      <c r="L31" s="224"/>
      <c r="M31" s="62"/>
    </row>
    <row r="32" spans="1:13" ht="21.75" customHeight="1" x14ac:dyDescent="0.25">
      <c r="A32" s="53" t="s">
        <v>18</v>
      </c>
      <c r="B32" s="225" t="s">
        <v>306</v>
      </c>
      <c r="C32" s="225"/>
      <c r="D32" s="225"/>
      <c r="E32" s="222" t="s">
        <v>307</v>
      </c>
      <c r="F32" s="222"/>
      <c r="G32" s="222"/>
      <c r="H32" s="222"/>
      <c r="I32" s="222"/>
      <c r="J32" s="222"/>
      <c r="K32" s="222"/>
      <c r="L32" s="222"/>
      <c r="M32" s="62"/>
    </row>
    <row r="33" spans="1:13" ht="21.75" customHeight="1" x14ac:dyDescent="0.25">
      <c r="A33" s="113" t="s">
        <v>18</v>
      </c>
      <c r="B33" s="226" t="s">
        <v>308</v>
      </c>
      <c r="C33" s="226"/>
      <c r="D33" s="226"/>
      <c r="E33" s="224" t="s">
        <v>309</v>
      </c>
      <c r="F33" s="224"/>
      <c r="G33" s="224"/>
      <c r="H33" s="224"/>
      <c r="I33" s="224"/>
      <c r="J33" s="224"/>
      <c r="K33" s="224"/>
      <c r="L33" s="224"/>
      <c r="M33" s="62"/>
    </row>
    <row r="34" spans="1:13" ht="21.75" customHeight="1" x14ac:dyDescent="0.25">
      <c r="A34" s="114" t="s">
        <v>18</v>
      </c>
      <c r="B34" s="221" t="s">
        <v>310</v>
      </c>
      <c r="C34" s="221"/>
      <c r="D34" s="221"/>
      <c r="E34" s="222" t="s">
        <v>311</v>
      </c>
      <c r="F34" s="222"/>
      <c r="G34" s="222"/>
      <c r="H34" s="222"/>
      <c r="I34" s="222"/>
      <c r="J34" s="222"/>
      <c r="K34" s="222"/>
      <c r="L34" s="222"/>
      <c r="M34" s="62"/>
    </row>
    <row r="35" spans="1:13" ht="15" customHeight="1" x14ac:dyDescent="0.2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</row>
    <row r="36" spans="1:13" ht="36" customHeight="1" x14ac:dyDescent="0.25">
      <c r="A36" s="193" t="s">
        <v>312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62"/>
    </row>
    <row r="37" spans="1:13" ht="15" customHeight="1" x14ac:dyDescent="0.25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</row>
    <row r="38" spans="1:13" ht="15" customHeight="1" x14ac:dyDescent="0.25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</row>
    <row r="39" spans="1:13" ht="15" customHeight="1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spans="1:13" ht="15" customHeight="1" x14ac:dyDescent="0.25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</row>
    <row r="41" spans="1:13" ht="15" customHeight="1" x14ac:dyDescent="0.25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</row>
    <row r="42" spans="1:13" ht="15" customHeight="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</row>
    <row r="43" spans="1:13" ht="15" customHeight="1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</row>
    <row r="44" spans="1:13" ht="15" customHeight="1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1:13" ht="15" customHeight="1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ht="15" customHeight="1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1:13" ht="15" customHeight="1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1:13" ht="15" customHeight="1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</row>
    <row r="50" spans="1:13" ht="15" customHeight="1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</row>
    <row r="51" spans="1:13" ht="15" customHeight="1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</row>
    <row r="52" spans="1:13" ht="15" customHeight="1" x14ac:dyDescent="0.25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</row>
    <row r="53" spans="1:13" ht="15" customHeight="1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</row>
    <row r="54" spans="1:13" ht="15" customHeight="1" x14ac:dyDescent="0.25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</row>
    <row r="55" spans="1:13" ht="15" customHeight="1" x14ac:dyDescent="0.2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</row>
    <row r="56" spans="1:13" ht="15" customHeight="1" x14ac:dyDescent="0.25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</row>
    <row r="57" spans="1:13" ht="15" customHeight="1" x14ac:dyDescent="0.25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</row>
    <row r="58" spans="1:13" ht="15" customHeight="1" x14ac:dyDescent="0.25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</row>
    <row r="59" spans="1:13" ht="15" customHeight="1" x14ac:dyDescent="0.25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</row>
    <row r="60" spans="1:13" ht="15" customHeight="1" x14ac:dyDescent="0.25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</row>
    <row r="61" spans="1:13" ht="15" customHeight="1" x14ac:dyDescent="0.25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</row>
    <row r="62" spans="1:13" ht="15" customHeight="1" x14ac:dyDescent="0.25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</row>
    <row r="63" spans="1:13" ht="1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</row>
    <row r="64" spans="1:13" ht="15" customHeight="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</row>
    <row r="65" spans="1:13" ht="1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</row>
    <row r="66" spans="1:13" ht="15" customHeight="1" x14ac:dyDescent="0.25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</row>
    <row r="67" spans="1:13" ht="1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</row>
    <row r="68" spans="1:13" ht="15" customHeight="1" x14ac:dyDescent="0.25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</row>
    <row r="69" spans="1:13" ht="1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</row>
    <row r="70" spans="1:13" ht="15" customHeight="1" x14ac:dyDescent="0.25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</row>
    <row r="71" spans="1:13" ht="1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</row>
    <row r="72" spans="1:13" ht="15" customHeight="1" x14ac:dyDescent="0.25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</row>
    <row r="73" spans="1:13" ht="1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</row>
    <row r="74" spans="1:13" ht="15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</row>
    <row r="75" spans="1:13" ht="1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</row>
    <row r="76" spans="1:13" ht="15" customHeight="1" x14ac:dyDescent="0.25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</row>
    <row r="77" spans="1:13" ht="1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</row>
    <row r="78" spans="1:13" ht="15" customHeight="1" x14ac:dyDescent="0.25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</row>
    <row r="79" spans="1:13" ht="1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</row>
    <row r="80" spans="1:13" ht="15" customHeight="1" x14ac:dyDescent="0.25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</row>
    <row r="81" spans="1:13" ht="15" customHeigh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</row>
    <row r="82" spans="1:13" ht="15" customHeight="1" x14ac:dyDescent="0.25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</row>
    <row r="83" spans="1:13" ht="15" customHeight="1" x14ac:dyDescent="0.25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</row>
    <row r="84" spans="1:13" ht="15" customHeight="1" x14ac:dyDescent="0.25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</row>
    <row r="85" spans="1:13" ht="15" customHeight="1" x14ac:dyDescent="0.2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</row>
    <row r="86" spans="1:13" ht="15" customHeight="1" x14ac:dyDescent="0.25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</row>
    <row r="87" spans="1:13" ht="15" customHeight="1" x14ac:dyDescent="0.25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</row>
    <row r="88" spans="1:13" ht="15" customHeight="1" x14ac:dyDescent="0.25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</row>
    <row r="89" spans="1:13" ht="15" customHeight="1" x14ac:dyDescent="0.25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</row>
    <row r="90" spans="1:13" ht="15" customHeight="1" x14ac:dyDescent="0.25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</row>
  </sheetData>
  <mergeCells count="26">
    <mergeCell ref="A1:L1"/>
    <mergeCell ref="A2:L2"/>
    <mergeCell ref="A4:C4"/>
    <mergeCell ref="E4:F4"/>
    <mergeCell ref="G4:I4"/>
    <mergeCell ref="K4:L4"/>
    <mergeCell ref="A6:F6"/>
    <mergeCell ref="G6:L6"/>
    <mergeCell ref="A26:L26"/>
    <mergeCell ref="B27:D27"/>
    <mergeCell ref="E27:L27"/>
    <mergeCell ref="B28:D28"/>
    <mergeCell ref="E28:L28"/>
    <mergeCell ref="B29:D29"/>
    <mergeCell ref="E29:L29"/>
    <mergeCell ref="B30:D30"/>
    <mergeCell ref="E30:L30"/>
    <mergeCell ref="B34:D34"/>
    <mergeCell ref="E34:L34"/>
    <mergeCell ref="A36:L36"/>
    <mergeCell ref="B31:D31"/>
    <mergeCell ref="E31:L31"/>
    <mergeCell ref="B32:D32"/>
    <mergeCell ref="E32:L32"/>
    <mergeCell ref="B33:D33"/>
    <mergeCell ref="E33:L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84C"/>
  </sheetPr>
  <dimension ref="A1:N80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Q6" sqref="Q6"/>
    </sheetView>
  </sheetViews>
  <sheetFormatPr defaultColWidth="8.7109375" defaultRowHeight="15" x14ac:dyDescent="0.25"/>
  <cols>
    <col min="1" max="1" width="3" customWidth="1"/>
    <col min="2" max="2" width="22" customWidth="1"/>
    <col min="3" max="4" width="14" customWidth="1"/>
    <col min="5" max="5" width="18" customWidth="1"/>
    <col min="6" max="7" width="14" customWidth="1"/>
    <col min="8" max="8" width="3" customWidth="1"/>
    <col min="9" max="9" width="22" customWidth="1"/>
    <col min="10" max="13" width="14" customWidth="1"/>
    <col min="14" max="14" width="3" customWidth="1"/>
  </cols>
  <sheetData>
    <row r="1" spans="1:14" ht="49.5" customHeight="1" x14ac:dyDescent="0.25">
      <c r="A1" s="248" t="s">
        <v>313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4" ht="9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42" customHeight="1" x14ac:dyDescent="0.25">
      <c r="A3" s="115"/>
      <c r="B3" s="62"/>
      <c r="C3" s="62"/>
      <c r="D3" s="62"/>
      <c r="E3" s="115"/>
      <c r="F3" s="62"/>
      <c r="G3" s="62"/>
      <c r="H3" s="62"/>
      <c r="I3" s="115"/>
      <c r="J3" s="62"/>
      <c r="K3" s="62"/>
      <c r="L3" s="62"/>
      <c r="M3" s="116"/>
      <c r="N3" s="62"/>
    </row>
    <row r="4" spans="1:14" ht="18" customHeight="1" x14ac:dyDescent="0.25">
      <c r="A4" s="163" t="s">
        <v>106</v>
      </c>
      <c r="B4" s="163"/>
      <c r="C4" s="163"/>
      <c r="D4" s="163" t="s">
        <v>314</v>
      </c>
      <c r="E4" s="163"/>
      <c r="F4" s="163"/>
      <c r="G4" s="163" t="s">
        <v>108</v>
      </c>
      <c r="H4" s="163"/>
      <c r="I4" s="163"/>
      <c r="J4" s="163" t="s">
        <v>315</v>
      </c>
      <c r="K4" s="163"/>
      <c r="L4" s="163"/>
      <c r="M4" s="163" t="s">
        <v>316</v>
      </c>
      <c r="N4" s="163"/>
    </row>
    <row r="5" spans="1:14" ht="36" customHeight="1" x14ac:dyDescent="0.25">
      <c r="A5" s="244">
        <f>SUM(D8:D23)</f>
        <v>2785.08</v>
      </c>
      <c r="B5" s="244"/>
      <c r="C5" s="244"/>
      <c r="D5" s="245">
        <f>4026.32-SUM(D8:D23)</f>
        <v>1241.2400000000002</v>
      </c>
      <c r="E5" s="245"/>
      <c r="F5" s="245"/>
      <c r="G5" s="246">
        <f>IFERROR((4026.32-SUM(D8:D23))/MAX(1,16-COUNTA(A8:A23)),0)</f>
        <v>137.91555555555558</v>
      </c>
      <c r="H5" s="246"/>
      <c r="I5" s="246"/>
      <c r="J5" s="247">
        <f>0.3*4026.32</f>
        <v>1207.896</v>
      </c>
      <c r="K5" s="247"/>
      <c r="L5" s="247"/>
      <c r="M5" s="245">
        <f>MAX(0,4026.32-SUM(D8:D23)-1350)</f>
        <v>0</v>
      </c>
      <c r="N5" s="245"/>
    </row>
    <row r="6" spans="1:14" ht="7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9.5" customHeight="1" x14ac:dyDescent="0.25">
      <c r="A7" s="117" t="s">
        <v>317</v>
      </c>
      <c r="B7" s="117" t="s">
        <v>318</v>
      </c>
      <c r="C7" s="117" t="s">
        <v>319</v>
      </c>
      <c r="D7" s="117" t="s">
        <v>320</v>
      </c>
      <c r="E7" s="117" t="s">
        <v>321</v>
      </c>
      <c r="F7" s="117" t="s">
        <v>322</v>
      </c>
      <c r="G7" s="243" t="s">
        <v>226</v>
      </c>
      <c r="H7" s="243"/>
      <c r="I7" s="240" t="s">
        <v>323</v>
      </c>
      <c r="J7" s="240"/>
      <c r="K7" s="240"/>
      <c r="L7" s="240"/>
      <c r="M7" s="240"/>
      <c r="N7" s="240"/>
    </row>
    <row r="8" spans="1:14" ht="19.5" customHeight="1" x14ac:dyDescent="0.25">
      <c r="A8" s="118">
        <v>1</v>
      </c>
      <c r="B8" s="119" t="s">
        <v>324</v>
      </c>
      <c r="C8" s="120" t="s">
        <v>325</v>
      </c>
      <c r="D8" s="121">
        <v>580.17999999999995</v>
      </c>
      <c r="E8" s="122">
        <f>4026.32-SUM($D$8:D8)</f>
        <v>3446.1400000000003</v>
      </c>
      <c r="F8" s="123">
        <f>IFERROR(SUM($D$8:D8)/4026.32,0)</f>
        <v>0.14409684277454349</v>
      </c>
      <c r="G8" s="179" t="s">
        <v>326</v>
      </c>
      <c r="H8" s="179"/>
      <c r="I8" s="83" t="s">
        <v>319</v>
      </c>
      <c r="J8" s="83" t="s">
        <v>327</v>
      </c>
      <c r="K8" s="83" t="s">
        <v>328</v>
      </c>
      <c r="L8" s="83" t="s">
        <v>329</v>
      </c>
      <c r="M8" s="83" t="s">
        <v>330</v>
      </c>
      <c r="N8" s="83" t="s">
        <v>331</v>
      </c>
    </row>
    <row r="9" spans="1:14" ht="21.75" customHeight="1" x14ac:dyDescent="0.25">
      <c r="A9" s="118">
        <v>1</v>
      </c>
      <c r="B9" s="124" t="s">
        <v>332</v>
      </c>
      <c r="C9" s="125" t="s">
        <v>333</v>
      </c>
      <c r="D9" s="126"/>
      <c r="E9" s="127">
        <f>4026.32-SUM($D$8:D9)</f>
        <v>3446.1400000000003</v>
      </c>
      <c r="F9" s="128">
        <f>IFERROR(SUM($D$8:D9)/4026.32,0)</f>
        <v>0.14409684277454349</v>
      </c>
      <c r="G9" s="183" t="s">
        <v>334</v>
      </c>
      <c r="H9" s="183"/>
      <c r="I9" s="11" t="s">
        <v>335</v>
      </c>
      <c r="J9" s="129">
        <v>600</v>
      </c>
      <c r="K9" s="130">
        <v>2600</v>
      </c>
      <c r="L9" s="131">
        <v>0.57799999999999996</v>
      </c>
      <c r="M9" s="132">
        <f>SUMIF(C8:C23,"Food",D8:D23)</f>
        <v>617.17999999999995</v>
      </c>
      <c r="N9" s="133">
        <f>2600-M9</f>
        <v>1982.8200000000002</v>
      </c>
    </row>
    <row r="10" spans="1:14" ht="21.75" customHeight="1" x14ac:dyDescent="0.25">
      <c r="A10" s="118">
        <v>2</v>
      </c>
      <c r="B10" s="119" t="s">
        <v>336</v>
      </c>
      <c r="C10" s="120" t="s">
        <v>337</v>
      </c>
      <c r="D10" s="121"/>
      <c r="E10" s="122">
        <f>4026.32-SUM($D$8:D10)</f>
        <v>3446.1400000000003</v>
      </c>
      <c r="F10" s="123">
        <f>IFERROR(SUM($D$8:D10)/4026.32,0)</f>
        <v>0.14409684277454349</v>
      </c>
      <c r="G10" s="179" t="s">
        <v>338</v>
      </c>
      <c r="H10" s="179"/>
      <c r="I10" s="19" t="s">
        <v>337</v>
      </c>
      <c r="J10" s="134">
        <v>80</v>
      </c>
      <c r="K10" s="135">
        <v>320</v>
      </c>
      <c r="L10" s="136">
        <v>7.0999999999999994E-2</v>
      </c>
      <c r="M10" s="137">
        <f>SUMIF(C8:C23,"Study Materials",D8:D23)</f>
        <v>0</v>
      </c>
      <c r="N10" s="138">
        <f>320-M10</f>
        <v>320</v>
      </c>
    </row>
    <row r="11" spans="1:14" ht="21.75" customHeight="1" x14ac:dyDescent="0.25">
      <c r="A11" s="118">
        <v>3</v>
      </c>
      <c r="B11" s="124" t="s">
        <v>332</v>
      </c>
      <c r="C11" s="125" t="s">
        <v>333</v>
      </c>
      <c r="D11" s="126"/>
      <c r="E11" s="127">
        <f>4026.32-SUM($D$8:D11)</f>
        <v>3446.1400000000003</v>
      </c>
      <c r="F11" s="128">
        <f>IFERROR(SUM($D$8:D11)/4026.32,0)</f>
        <v>0.14409684277454349</v>
      </c>
      <c r="G11" s="183" t="s">
        <v>339</v>
      </c>
      <c r="H11" s="183"/>
      <c r="I11" s="11" t="s">
        <v>340</v>
      </c>
      <c r="J11" s="129">
        <v>50</v>
      </c>
      <c r="K11" s="130">
        <v>200</v>
      </c>
      <c r="L11" s="131">
        <v>4.3999999999999997E-2</v>
      </c>
      <c r="M11" s="132">
        <f>SUMIF(C8:C23,"Transport",D8:D23)</f>
        <v>0</v>
      </c>
      <c r="N11" s="133">
        <f>200-M11</f>
        <v>200</v>
      </c>
    </row>
    <row r="12" spans="1:14" ht="21.75" customHeight="1" x14ac:dyDescent="0.25">
      <c r="A12" s="118"/>
      <c r="B12" s="119" t="s">
        <v>366</v>
      </c>
      <c r="C12" s="120" t="s">
        <v>341</v>
      </c>
      <c r="D12" s="121">
        <v>587</v>
      </c>
      <c r="E12" s="122">
        <f>4026.32-SUM($D$8:D12)</f>
        <v>2859.1400000000003</v>
      </c>
      <c r="F12" s="123">
        <f>IFERROR(SUM($D$8:D12)/4026.32,0)</f>
        <v>0.28988753998688621</v>
      </c>
      <c r="G12" s="179" t="s">
        <v>342</v>
      </c>
      <c r="H12" s="179"/>
      <c r="I12" s="19" t="s">
        <v>343</v>
      </c>
      <c r="J12" s="134">
        <v>40</v>
      </c>
      <c r="K12" s="135">
        <v>160</v>
      </c>
      <c r="L12" s="136">
        <v>3.5999999999999997E-2</v>
      </c>
      <c r="M12" s="137">
        <f>SUMIF(C8:C23,"Communication",D8:D23)</f>
        <v>0</v>
      </c>
      <c r="N12" s="138">
        <f>160-M12</f>
        <v>160</v>
      </c>
    </row>
    <row r="13" spans="1:14" ht="21.75" customHeight="1" x14ac:dyDescent="0.25">
      <c r="A13" s="118"/>
      <c r="B13" s="124" t="s">
        <v>344</v>
      </c>
      <c r="C13" s="125" t="s">
        <v>337</v>
      </c>
      <c r="D13" s="126"/>
      <c r="E13" s="127">
        <f>4026.32-SUM($D$8:D13)</f>
        <v>2859.1400000000003</v>
      </c>
      <c r="F13" s="128">
        <f>IFERROR(SUM($D$8:D13)/4026.32,0)</f>
        <v>0.28988753998688621</v>
      </c>
      <c r="G13" s="183"/>
      <c r="H13" s="183"/>
      <c r="I13" s="11" t="s">
        <v>333</v>
      </c>
      <c r="J13" s="129">
        <v>75</v>
      </c>
      <c r="K13" s="130">
        <v>300</v>
      </c>
      <c r="L13" s="131">
        <v>6.7000000000000004E-2</v>
      </c>
      <c r="M13" s="132">
        <f>SUMIF(C8:C23,"Entertainment",D8:D23)</f>
        <v>0</v>
      </c>
      <c r="N13" s="133">
        <f>300-M13</f>
        <v>300</v>
      </c>
    </row>
    <row r="14" spans="1:14" ht="21.75" customHeight="1" x14ac:dyDescent="0.25">
      <c r="A14" s="118"/>
      <c r="B14" s="119" t="s">
        <v>345</v>
      </c>
      <c r="C14" s="120" t="s">
        <v>346</v>
      </c>
      <c r="D14" s="121">
        <v>346</v>
      </c>
      <c r="E14" s="122">
        <f>4026.32-SUM($D$8:D14)</f>
        <v>2513.1400000000003</v>
      </c>
      <c r="F14" s="123">
        <f>IFERROR(SUM($D$8:D14)/4026.32,0)</f>
        <v>0.37582209064356531</v>
      </c>
      <c r="G14" s="179" t="s">
        <v>347</v>
      </c>
      <c r="H14" s="179"/>
      <c r="I14" s="19" t="s">
        <v>348</v>
      </c>
      <c r="J14" s="134">
        <v>50</v>
      </c>
      <c r="K14" s="135">
        <v>200</v>
      </c>
      <c r="L14" s="136">
        <v>4.3999999999999997E-2</v>
      </c>
      <c r="M14" s="137">
        <f>SUMIF(C8:C23,"Health",D8:D23)</f>
        <v>0</v>
      </c>
      <c r="N14" s="138">
        <f>200-M14</f>
        <v>200</v>
      </c>
    </row>
    <row r="15" spans="1:14" ht="21.75" customHeight="1" x14ac:dyDescent="0.25">
      <c r="A15" s="118"/>
      <c r="B15" s="124" t="s">
        <v>349</v>
      </c>
      <c r="C15" s="125" t="s">
        <v>341</v>
      </c>
      <c r="D15" s="126">
        <v>69.900000000000006</v>
      </c>
      <c r="E15" s="127">
        <f>4026.32-SUM($D$8:D15)</f>
        <v>2443.2400000000002</v>
      </c>
      <c r="F15" s="128">
        <f>IFERROR(SUM($D$8:D15)/4026.32,0)</f>
        <v>0.39318285680224124</v>
      </c>
      <c r="G15" s="183" t="s">
        <v>350</v>
      </c>
      <c r="H15" s="183"/>
      <c r="I15" s="11" t="s">
        <v>346</v>
      </c>
      <c r="J15" s="129">
        <v>25</v>
      </c>
      <c r="K15" s="130">
        <v>100</v>
      </c>
      <c r="L15" s="131">
        <v>2.1999999999999999E-2</v>
      </c>
      <c r="M15" s="132">
        <f>SUMIF(C8:C23,"Clothing",D8:D23)</f>
        <v>346</v>
      </c>
      <c r="N15" s="133">
        <f>100-M15</f>
        <v>-246</v>
      </c>
    </row>
    <row r="16" spans="1:14" ht="21.75" customHeight="1" x14ac:dyDescent="0.25">
      <c r="A16" s="118"/>
      <c r="B16" s="119" t="s">
        <v>351</v>
      </c>
      <c r="C16" s="120" t="s">
        <v>325</v>
      </c>
      <c r="D16" s="121">
        <v>37</v>
      </c>
      <c r="E16" s="122">
        <f>4026.32-SUM($D$8:D16)</f>
        <v>2406.2400000000002</v>
      </c>
      <c r="F16" s="123">
        <f>IFERROR(SUM($D$8:D16)/4026.32,0)</f>
        <v>0.40237238967593231</v>
      </c>
      <c r="G16" s="179" t="s">
        <v>352</v>
      </c>
      <c r="H16" s="179"/>
      <c r="I16" s="19" t="s">
        <v>353</v>
      </c>
      <c r="J16" s="134">
        <v>35</v>
      </c>
      <c r="K16" s="135">
        <v>140</v>
      </c>
      <c r="L16" s="136">
        <v>3.5000000000000003E-2</v>
      </c>
      <c r="M16" s="137">
        <f>SUMIF(C8:C23,"Personal Care",D8:D23)</f>
        <v>0</v>
      </c>
      <c r="N16" s="138">
        <f>140-M16</f>
        <v>140</v>
      </c>
    </row>
    <row r="17" spans="1:14" ht="21.75" customHeight="1" x14ac:dyDescent="0.25">
      <c r="A17" s="118"/>
      <c r="B17" s="124" t="s">
        <v>354</v>
      </c>
      <c r="C17" s="125" t="s">
        <v>341</v>
      </c>
      <c r="D17" s="126">
        <v>137</v>
      </c>
      <c r="E17" s="127">
        <f>4026.32-SUM($D$8:D17)</f>
        <v>2269.2400000000002</v>
      </c>
      <c r="F17" s="128">
        <f>IFERROR(SUM($D$8:D17)/4026.32,0)</f>
        <v>0.43639849788392376</v>
      </c>
      <c r="G17" s="183" t="s">
        <v>367</v>
      </c>
      <c r="H17" s="183"/>
      <c r="I17" s="139" t="s">
        <v>315</v>
      </c>
      <c r="J17" s="129">
        <v>112</v>
      </c>
      <c r="K17" s="140">
        <v>450</v>
      </c>
      <c r="L17" s="131">
        <v>0.1</v>
      </c>
      <c r="M17" s="133">
        <f>MAX(0,4026.32-SUM(D8:D23)-1350)</f>
        <v>0</v>
      </c>
      <c r="N17" s="133">
        <f>450-M17</f>
        <v>450</v>
      </c>
    </row>
    <row r="18" spans="1:14" ht="21.75" customHeight="1" thickBot="1" x14ac:dyDescent="0.3">
      <c r="A18" s="118"/>
      <c r="B18" s="119" t="s">
        <v>356</v>
      </c>
      <c r="C18" s="120" t="s">
        <v>341</v>
      </c>
      <c r="D18" s="121">
        <v>1028</v>
      </c>
      <c r="E18" s="122">
        <f>4026.32-SUM($D$8:D18)</f>
        <v>1241.2400000000002</v>
      </c>
      <c r="F18" s="123">
        <f>IFERROR(SUM($D$8:D18)/4026.32,0)</f>
        <v>0.69171849232053084</v>
      </c>
      <c r="G18" s="179" t="s">
        <v>368</v>
      </c>
      <c r="H18" s="179"/>
      <c r="I18" s="117" t="s">
        <v>355</v>
      </c>
      <c r="J18" s="141">
        <f>SUM(J9:J17)</f>
        <v>1067</v>
      </c>
      <c r="K18" s="141">
        <f>SUM(K9:K17)</f>
        <v>4470</v>
      </c>
      <c r="L18" s="142">
        <f>SUM(L9:L17)</f>
        <v>0.99700000000000011</v>
      </c>
      <c r="M18" s="143">
        <f>SUM(M9:M17)</f>
        <v>963.18</v>
      </c>
      <c r="N18" s="144">
        <f>SUM(N9:N17)</f>
        <v>3506.82</v>
      </c>
    </row>
    <row r="19" spans="1:14" ht="21.75" customHeight="1" thickBot="1" x14ac:dyDescent="0.3">
      <c r="A19" s="118"/>
      <c r="B19" s="119"/>
      <c r="C19" s="120" t="s">
        <v>341</v>
      </c>
      <c r="D19" s="121"/>
      <c r="E19" s="122">
        <f>4026.32-SUM($D$8:D19)</f>
        <v>1241.2400000000002</v>
      </c>
      <c r="F19" s="123">
        <f>IFERROR(SUM($D$8:D19)/4026.32,0)</f>
        <v>0.69171849232053084</v>
      </c>
      <c r="G19" s="179"/>
      <c r="H19" s="179"/>
      <c r="I19" s="240" t="s">
        <v>357</v>
      </c>
      <c r="J19" s="240"/>
      <c r="K19" s="240"/>
      <c r="L19" s="240"/>
      <c r="M19" s="240"/>
      <c r="N19" s="240"/>
    </row>
    <row r="20" spans="1:14" ht="25.5" customHeight="1" x14ac:dyDescent="0.25">
      <c r="A20" s="118">
        <v>3</v>
      </c>
      <c r="B20" s="124"/>
      <c r="C20" s="125" t="s">
        <v>341</v>
      </c>
      <c r="D20" s="126"/>
      <c r="E20" s="127">
        <f>4026.32-SUM($D$8:D20)</f>
        <v>1241.2400000000002</v>
      </c>
      <c r="F20" s="128">
        <f>IFERROR(SUM($D$8:D20)/4026.32,0)</f>
        <v>0.69171849232053084</v>
      </c>
      <c r="G20" s="183" t="s">
        <v>358</v>
      </c>
      <c r="H20" s="183"/>
      <c r="I20" s="145" t="s">
        <v>359</v>
      </c>
      <c r="J20" s="236" t="str">
        <f>REPT("█",ROUND(IFERROR(SUM(D8:D23)/4026.32,0)*20,0))&amp;REPT("░",20-ROUND(IFERROR(SUM(D8:D23)/4026.32,0)*20,0))&amp;"  "&amp;TEXT(IFERROR(SUM(D8:D23)/4026.32,0),"0.0%")</f>
        <v>██████████████░░░░░░  69.2%</v>
      </c>
      <c r="K20" s="236"/>
      <c r="L20" s="236"/>
      <c r="M20" s="236"/>
      <c r="N20" s="146">
        <f>IFERROR(SUM(D8:D23)/4026.32,0)</f>
        <v>0.69171849232053084</v>
      </c>
    </row>
    <row r="21" spans="1:14" ht="25.5" customHeight="1" thickBot="1" x14ac:dyDescent="0.3">
      <c r="A21" s="118">
        <v>4</v>
      </c>
      <c r="B21" s="119"/>
      <c r="C21" s="120" t="s">
        <v>341</v>
      </c>
      <c r="D21" s="121"/>
      <c r="E21" s="122">
        <f>4026.32-SUM($D$8:D21)</f>
        <v>1241.2400000000002</v>
      </c>
      <c r="F21" s="123">
        <f>IFERROR(SUM($D$8:D21)/4026.32,0)</f>
        <v>0.69171849232053084</v>
      </c>
      <c r="G21" s="179" t="s">
        <v>360</v>
      </c>
      <c r="H21" s="179"/>
      <c r="I21" s="145" t="s">
        <v>361</v>
      </c>
      <c r="J21" s="237" t="str">
        <f>REPT("█",ROUND(IFERROR(1-SUM(D8:D23)/4026.32,0)*20,0))&amp;REPT("░",20-ROUND(IFERROR(1-SUM(D8:D23)/4026.32,0)*20,0))&amp;"  "&amp;TEXT(IFERROR(1-SUM(D8:D23)/4026.32,0),"0.0%")</f>
        <v>██████░░░░░░░░░░░░░░  30.8%</v>
      </c>
      <c r="K21" s="237"/>
      <c r="L21" s="237"/>
      <c r="M21" s="237"/>
      <c r="N21" s="147">
        <f>IFERROR(1-SUM(D8:D23)/4026.32,0)</f>
        <v>0.30828150767946916</v>
      </c>
    </row>
    <row r="22" spans="1:14" ht="25.5" customHeight="1" thickBot="1" x14ac:dyDescent="0.3">
      <c r="A22" s="118"/>
      <c r="B22" s="119"/>
      <c r="C22" s="120" t="s">
        <v>341</v>
      </c>
      <c r="D22" s="121"/>
      <c r="E22" s="122"/>
      <c r="F22" s="123"/>
      <c r="G22" s="1"/>
      <c r="H22" s="1"/>
      <c r="I22" s="149"/>
      <c r="J22" s="150"/>
      <c r="K22" s="150"/>
      <c r="L22" s="150"/>
      <c r="M22" s="150"/>
      <c r="N22" s="151"/>
    </row>
    <row r="23" spans="1:14" ht="27.75" customHeight="1" thickBot="1" x14ac:dyDescent="0.3">
      <c r="A23" s="118">
        <v>4</v>
      </c>
      <c r="B23" s="124"/>
      <c r="C23" s="125" t="s">
        <v>325</v>
      </c>
      <c r="D23" s="126">
        <v>0</v>
      </c>
      <c r="E23" s="127">
        <f>4026.32-SUM($D$8:D23)</f>
        <v>1241.2400000000002</v>
      </c>
      <c r="F23" s="128">
        <f>IFERROR(SUM($D$8:D23)/4026.32,0)</f>
        <v>0.69171849232053084</v>
      </c>
      <c r="G23" s="183" t="s">
        <v>362</v>
      </c>
      <c r="H23" s="183"/>
      <c r="I23" s="239" t="s">
        <v>363</v>
      </c>
      <c r="J23" s="239"/>
      <c r="K23" s="239"/>
      <c r="L23" s="239"/>
      <c r="M23" s="239"/>
      <c r="N23" s="239"/>
    </row>
    <row r="24" spans="1:14" ht="24" customHeight="1" x14ac:dyDescent="0.25">
      <c r="A24" s="240" t="s">
        <v>355</v>
      </c>
      <c r="B24" s="240"/>
      <c r="C24" s="240"/>
      <c r="D24" s="148">
        <f>SUM(D8:D23)</f>
        <v>2785.08</v>
      </c>
      <c r="E24" s="241">
        <f>4026.32-SUM(D8:D23)</f>
        <v>1241.2400000000002</v>
      </c>
      <c r="F24" s="241"/>
      <c r="G24" s="241"/>
      <c r="H24" s="241"/>
      <c r="I24" s="242" t="s">
        <v>364</v>
      </c>
      <c r="J24" s="242"/>
      <c r="K24" s="242"/>
      <c r="L24" s="242"/>
      <c r="M24" s="242"/>
      <c r="N24" s="242"/>
    </row>
    <row r="25" spans="1:14" ht="7.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7.75" customHeight="1" x14ac:dyDescent="0.25">
      <c r="A26" s="238" t="s">
        <v>365</v>
      </c>
      <c r="B26" s="238"/>
      <c r="C26" s="238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</sheetData>
  <mergeCells count="36">
    <mergeCell ref="A1:N1"/>
    <mergeCell ref="A4:C4"/>
    <mergeCell ref="D4:F4"/>
    <mergeCell ref="G4:I4"/>
    <mergeCell ref="J4:L4"/>
    <mergeCell ref="M4:N4"/>
    <mergeCell ref="A5:C5"/>
    <mergeCell ref="D5:F5"/>
    <mergeCell ref="G5:I5"/>
    <mergeCell ref="J5:L5"/>
    <mergeCell ref="M5:N5"/>
    <mergeCell ref="G7:H7"/>
    <mergeCell ref="I7:N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I19:N19"/>
    <mergeCell ref="G20:H20"/>
    <mergeCell ref="J20:M20"/>
    <mergeCell ref="G21:H21"/>
    <mergeCell ref="J21:M21"/>
    <mergeCell ref="A26:N26"/>
    <mergeCell ref="G23:H23"/>
    <mergeCell ref="I23:N23"/>
    <mergeCell ref="A24:C24"/>
    <mergeCell ref="E24:H24"/>
    <mergeCell ref="I24:N24"/>
  </mergeCells>
  <conditionalFormatting sqref="D8:D23">
    <cfRule type="cellIs" dxfId="2" priority="2" operator="greaterThan">
      <formula>500</formula>
    </cfRule>
    <cfRule type="cellIs" dxfId="1" priority="3" operator="equal">
      <formula>0</formula>
    </cfRule>
  </conditionalFormatting>
  <conditionalFormatting sqref="E8:E23">
    <cfRule type="cellIs" dxfId="0" priority="4" operator="lessThan">
      <formula>500</formula>
    </cfRule>
  </conditionalFormatting>
  <dataValidations count="1">
    <dataValidation type="list" allowBlank="1" showErrorMessage="1" errorTitle="Invalid Category" error="Choose from the dropdown list" sqref="C8:C23" xr:uid="{00000000-0002-0000-0400-000000000000}">
      <formula1>"Food,Transport,Study Materials,Entertainment,Clothing,Health,Communication,Other"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🏠 Dashboard</vt:lpstr>
      <vt:lpstr>📅 Timetable</vt:lpstr>
      <vt:lpstr>📊 Analytics</vt:lpstr>
      <vt:lpstr>📄 Research Hub</vt:lpstr>
      <vt:lpstr>💰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塔纳卡</cp:lastModifiedBy>
  <cp:revision>6</cp:revision>
  <dcterms:created xsi:type="dcterms:W3CDTF">2026-02-28T02:43:36Z</dcterms:created>
  <dcterms:modified xsi:type="dcterms:W3CDTF">2026-03-17T11:27:02Z</dcterms:modified>
  <dc:language>en-US</dc:language>
</cp:coreProperties>
</file>